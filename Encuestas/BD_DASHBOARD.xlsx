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lia_4m9iwa1\Desktop\Julián\IUSH\Investigación\Encuestas\"/>
    </mc:Choice>
  </mc:AlternateContent>
  <xr:revisionPtr revIDLastSave="0" documentId="13_ncr:1_{44FB5863-2AE6-44A3-8FE6-1D3A6173541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BD" sheetId="1" r:id="rId1"/>
    <sheet name="Dashboard" sheetId="2" r:id="rId2"/>
  </sheets>
  <definedNames>
    <definedName name="SegmentaciónDeDatos_Universidad">#N/A</definedName>
  </definedNames>
  <calcPr calcId="191029"/>
  <pivotCaches>
    <pivotCache cacheId="288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L24" i="2"/>
  <c r="H17" i="2"/>
  <c r="L25" i="2"/>
  <c r="H20" i="2"/>
  <c r="H19" i="2"/>
  <c r="H18" i="2"/>
  <c r="L17" i="2"/>
  <c r="H11" i="2"/>
  <c r="D18" i="2"/>
  <c r="D8" i="2"/>
  <c r="L9" i="2"/>
  <c r="D28" i="2"/>
  <c r="H10" i="2"/>
  <c r="H9" i="2"/>
  <c r="D21" i="2"/>
  <c r="H8" i="2"/>
  <c r="D20" i="2"/>
  <c r="D10" i="2"/>
  <c r="D9" i="2"/>
  <c r="L10" i="2"/>
  <c r="L8" i="2"/>
  <c r="D27" i="2"/>
  <c r="D11" i="2"/>
  <c r="D19" i="2"/>
  <c r="D17" i="2"/>
  <c r="L11" i="2"/>
  <c r="L18" i="2"/>
  <c r="D22" i="2" l="1"/>
  <c r="D29" i="2"/>
  <c r="L12" i="2"/>
  <c r="H12" i="2"/>
  <c r="D12" i="2"/>
  <c r="L19" i="2"/>
  <c r="H22" i="2"/>
  <c r="L26" i="2"/>
</calcChain>
</file>

<file path=xl/sharedStrings.xml><?xml version="1.0" encoding="utf-8"?>
<sst xmlns="http://schemas.openxmlformats.org/spreadsheetml/2006/main" count="835" uniqueCount="56">
  <si>
    <t>ID</t>
  </si>
  <si>
    <t>Hora de inicio</t>
  </si>
  <si>
    <t>Hora de finalización</t>
  </si>
  <si>
    <t>Correo electrónico</t>
  </si>
  <si>
    <t>Nombre</t>
  </si>
  <si>
    <t>Hora de la última modificación</t>
  </si>
  <si>
    <t>Universidad</t>
  </si>
  <si>
    <t>¿Con qué frecuencia utiliza la biblioteca de la Universidad?</t>
  </si>
  <si>
    <t>Califique el tiempo que tarda el proceso de préstamo del material bibliográfico.</t>
  </si>
  <si>
    <t>Califique qué tan ágil y eficiente considera el proceso de devolución de los libros.</t>
  </si>
  <si>
    <t>¿Qué tan fácil le resulta encontrar el material bibliográfico que necesita en la biblioteca?</t>
  </si>
  <si>
    <t>¿Cómo califica el funcionamiento del sistema actual de gestión de la biblioteca?</t>
  </si>
  <si>
    <t>¿Considera necesario mejorar o cambiar el sistema actual de gestión de la biblioteca?</t>
  </si>
  <si>
    <t>¿Ha tenido alguna dificultad al momento de prestar o devolver material bibliográfico?</t>
  </si>
  <si>
    <t>¿Cuál ha sido la principal dificultad?</t>
  </si>
  <si>
    <t>Comentarios adicionales</t>
  </si>
  <si>
    <t>anonymous</t>
  </si>
  <si>
    <t>IUSH</t>
  </si>
  <si>
    <t>Rara vez</t>
  </si>
  <si>
    <t>Aceptable</t>
  </si>
  <si>
    <t>Difícil</t>
  </si>
  <si>
    <t>Si</t>
  </si>
  <si>
    <t>No</t>
  </si>
  <si>
    <t>Muy rápido</t>
  </si>
  <si>
    <t>Excelente</t>
  </si>
  <si>
    <t>Muy fácil</t>
  </si>
  <si>
    <t>Bueno</t>
  </si>
  <si>
    <t>Ocasionalmente</t>
  </si>
  <si>
    <t>Deficiente</t>
  </si>
  <si>
    <t>Muy deficiente</t>
  </si>
  <si>
    <t>Muy lento</t>
  </si>
  <si>
    <t>Rápido</t>
  </si>
  <si>
    <t>Fácil</t>
  </si>
  <si>
    <t>ITM</t>
  </si>
  <si>
    <t>Demora en el proceso</t>
  </si>
  <si>
    <t>Frecuentemente</t>
  </si>
  <si>
    <t>Neutal</t>
  </si>
  <si>
    <t>tiempos de atención un pcoo lentos</t>
  </si>
  <si>
    <t>n/a</t>
  </si>
  <si>
    <t>Nunca</t>
  </si>
  <si>
    <t>ninguno</t>
  </si>
  <si>
    <t>Total general</t>
  </si>
  <si>
    <t>Porcentaje</t>
  </si>
  <si>
    <t>Cantidad</t>
  </si>
  <si>
    <t/>
  </si>
  <si>
    <t>Frecuencia de uso de la biblioteca</t>
  </si>
  <si>
    <t>Tiempo de préstamo</t>
  </si>
  <si>
    <t>Facilidad encontrar material</t>
  </si>
  <si>
    <t>Neutral</t>
  </si>
  <si>
    <t>(en blanco)</t>
  </si>
  <si>
    <t>Agilidad en proceso de devolución</t>
  </si>
  <si>
    <t>Mejorar el sistema actual de la biblio</t>
  </si>
  <si>
    <t>Dificultad en la gestión bibliotecaria</t>
  </si>
  <si>
    <t>Funcionamiento actual de biblio</t>
  </si>
  <si>
    <t>Biblioteca EPM</t>
  </si>
  <si>
    <t>BPP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</si>
</sst>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\ 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63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1" defaultTableStyle="TableStyleMedium2" defaultPivotStyle="PivotStyleLight16">
    <tableStyle name="Invisible" pivot="0" table="0" count="0" xr9:uid="{C7915ADC-08E3-4C10-B6F5-4512522E27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271097</xdr:colOff>
      <xdr:row>0</xdr:row>
      <xdr:rowOff>124558</xdr:rowOff>
    </xdr:from>
    <xdr:to>
      <xdr:col>11</xdr:col>
      <xdr:colOff>417634</xdr:colOff>
      <xdr:row>4</xdr:row>
      <xdr:rowOff>36635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35E6018E-1373-3372-F608-EF7C2BF67594}"/>
            </a:ext>
          </a:extLst>
        </xdr:cNvPr>
        <xdr:cNvSpPr/>
      </xdr:nvSpPr>
      <xdr:spPr>
        <a:xfrm>
          <a:off x="608135" y="124558"/>
          <a:ext cx="7927730" cy="644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 b="0" i="0">
              <a:solidFill>
                <a:sysClr val="windowText" lastClr="000000"/>
              </a:solidFill>
            </a:rPr>
            <a:t>DASHBOARD DE RECOLECCIÓN DE INFORMACIÓN</a:t>
          </a:r>
        </a:p>
      </xdr:txBody>
    </xdr:sp>
    <xdr:clientData/>
  </xdr:twoCellAnchor>
  <xdr:twoCellAnchor editAs="oneCell">
    <xdr:from>
      <xdr:col>13</xdr:col>
      <xdr:colOff>64232</xdr:colOff>
      <xdr:row>10</xdr:row>
      <xdr:rowOff>9037</xdr:rowOff>
    </xdr:from>
    <xdr:to>
      <xdr:col>14</xdr:col>
      <xdr:colOff>542681</xdr:colOff>
      <xdr:row>24</xdr:row>
      <xdr:rowOff>153865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Universidad">
              <a:extLst>
                <a:ext uri="{FF2B5EF4-FFF2-40B4-BE49-F238E27FC236}">
                  <a16:creationId xmlns:a16="http://schemas.microsoft.com/office/drawing/2014/main" id="{D7D059ED-22CD-76AA-E0CE-A93F76CB7A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vers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5444" y="1840768"/>
              <a:ext cx="1819275" cy="1262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13</xdr:col>
      <xdr:colOff>402981</xdr:colOff>
      <xdr:row>5</xdr:row>
      <xdr:rowOff>43962</xdr:rowOff>
    </xdr:from>
    <xdr:to>
      <xdr:col>14</xdr:col>
      <xdr:colOff>197827</xdr:colOff>
      <xdr:row>6</xdr:row>
      <xdr:rowOff>168520</xdr:rowOff>
    </xdr:to>
    <xdr:sp macro="[0]!BotónActualizar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7CBA582A-3580-EF69-3BC4-84575FD7312D}"/>
            </a:ext>
          </a:extLst>
        </xdr:cNvPr>
        <xdr:cNvSpPr/>
      </xdr:nvSpPr>
      <xdr:spPr>
        <a:xfrm>
          <a:off x="8506558" y="959827"/>
          <a:ext cx="1135673" cy="30773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 b="1">
              <a:solidFill>
                <a:sysClr val="windowText" lastClr="000000"/>
              </a:solidFill>
            </a:rPr>
            <a:t>Actualizar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án Cifuentes Vásquez" refreshedDate="46124.990946064812" createdVersion="8" refreshedVersion="8" minRefreshableVersion="3" recordCount="87" xr:uid="{CE33489F-F2CD-4D9F-AE87-0BE2F780591F}">
  <cacheSource type="worksheet">
    <worksheetSource name="Table1"/>
  </cacheSource>
  <cacheFields count="16">
    <cacheField name="ID" numFmtId="0">
      <sharedItems containsString="0" containsBlank="1" containsNumber="1" containsInteger="1" minValue="1" maxValue="18"/>
    </cacheField>
    <cacheField name="Hora de inicio" numFmtId="164">
      <sharedItems containsNonDate="0" containsDate="1" containsString="0" containsBlank="1" minDate="2026-03-11T17:55:34" maxDate="2026-03-11T19:38:28"/>
    </cacheField>
    <cacheField name="Hora de finalización" numFmtId="164">
      <sharedItems containsNonDate="0" containsDate="1" containsString="0" containsBlank="1" minDate="2026-03-11T18:02:39" maxDate="2026-03-11T19:39:11"/>
    </cacheField>
    <cacheField name="Correo electrónico" numFmtId="0">
      <sharedItems containsBlank="1"/>
    </cacheField>
    <cacheField name="Nombre" numFmtId="0">
      <sharedItems containsNonDate="0" containsString="0" containsBlank="1"/>
    </cacheField>
    <cacheField name="Hora de la última modificación" numFmtId="164">
      <sharedItems containsNonDate="0" containsString="0" containsBlank="1"/>
    </cacheField>
    <cacheField name="Universidad" numFmtId="0">
      <sharedItems count="5">
        <s v="IUSH"/>
        <s v="Biblioteca EPM"/>
        <s v="ITM"/>
        <s v="BPP"/>
        <s v="UPB" u="1"/>
      </sharedItems>
    </cacheField>
    <cacheField name="¿Con qué frecuencia utiliza la biblioteca de la Universidad?" numFmtId="0">
      <sharedItems containsBlank="1" count="5">
        <s v="Rara vez"/>
        <s v="Ocasionalmente"/>
        <s v="Frecuentemente"/>
        <s v="Nunca"/>
        <m u="1"/>
      </sharedItems>
    </cacheField>
    <cacheField name="Califique el tiempo que tarda el proceso de préstamo del material bibliográfico." numFmtId="0">
      <sharedItems containsBlank="1" count="5">
        <s v="Aceptable"/>
        <s v="Muy rápido"/>
        <s v="Muy lento"/>
        <s v="Rápido"/>
        <m u="1"/>
      </sharedItems>
    </cacheField>
    <cacheField name="Califique qué tan ágil y eficiente considera el proceso de devolución de los libros." numFmtId="0">
      <sharedItems containsBlank="1" count="6">
        <s v="Aceptable"/>
        <s v="Excelente"/>
        <s v="Bueno"/>
        <s v="Muy deficiente"/>
        <s v="Deficiente"/>
        <m u="1"/>
      </sharedItems>
    </cacheField>
    <cacheField name="¿Qué tan fácil le resulta encontrar el material bibliográfico que necesita en la biblioteca?" numFmtId="0">
      <sharedItems containsBlank="1" count="5">
        <s v="Difícil"/>
        <s v="Muy fácil"/>
        <s v="Fácil"/>
        <s v="Neutal"/>
        <m u="1"/>
      </sharedItems>
    </cacheField>
    <cacheField name="¿Cómo califica el funcionamiento del sistema actual de gestión de la biblioteca?" numFmtId="0">
      <sharedItems containsBlank="1" count="6">
        <s v="Aceptable"/>
        <s v="Bueno"/>
        <s v="Deficiente"/>
        <s v="Excelente"/>
        <s v="Muy deficiente"/>
        <m u="1"/>
      </sharedItems>
    </cacheField>
    <cacheField name="¿Considera necesario mejorar o cambiar el sistema actual de gestión de la biblioteca?" numFmtId="0">
      <sharedItems containsBlank="1" count="3">
        <s v="Si"/>
        <s v="No"/>
        <m u="1"/>
      </sharedItems>
    </cacheField>
    <cacheField name="¿Ha tenido alguna dificultad al momento de prestar o devolver material bibliográfico?" numFmtId="0">
      <sharedItems containsBlank="1" count="3">
        <s v="No"/>
        <s v="Si"/>
        <m u="1"/>
      </sharedItems>
    </cacheField>
    <cacheField name="¿Cuál ha sido la principal dificultad?" numFmtId="0">
      <sharedItems containsBlank="1" count="2">
        <m/>
        <s v="Demora en el proceso"/>
      </sharedItems>
    </cacheField>
    <cacheField name="Comentarios adicionales" numFmtId="0">
      <sharedItems containsBlank="1"/>
    </cacheField>
  </cacheFields>
  <extLst>
    <ext xmlns:x14="http://schemas.microsoft.com/office/spreadsheetml/2009/9/main" uri="{725AE2AE-9491-48be-B2B4-4EB974FC3084}">
      <x14:pivotCacheDefinition pivotCacheId="6727487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1"/>
    <d v="2026-03-11T17:55:34"/>
    <d v="2026-03-11T18:02:39"/>
    <s v="anonymous"/>
    <m/>
    <m/>
    <x v="0"/>
    <x v="0"/>
    <x v="0"/>
    <x v="0"/>
    <x v="0"/>
    <x v="0"/>
    <x v="0"/>
    <x v="0"/>
    <x v="0"/>
    <m/>
  </r>
  <r>
    <n v="2"/>
    <d v="2026-03-11T18:07:41"/>
    <d v="2026-03-11T18:09:02"/>
    <s v="anonymous"/>
    <m/>
    <m/>
    <x v="0"/>
    <x v="0"/>
    <x v="1"/>
    <x v="1"/>
    <x v="1"/>
    <x v="1"/>
    <x v="0"/>
    <x v="0"/>
    <x v="0"/>
    <m/>
  </r>
  <r>
    <n v="3"/>
    <d v="2026-03-11T18:09:15"/>
    <d v="2026-03-11T18:09:50"/>
    <s v="anonymous"/>
    <m/>
    <m/>
    <x v="0"/>
    <x v="1"/>
    <x v="0"/>
    <x v="2"/>
    <x v="0"/>
    <x v="2"/>
    <x v="0"/>
    <x v="0"/>
    <x v="0"/>
    <m/>
  </r>
  <r>
    <n v="4"/>
    <d v="2026-03-11T18:09:57"/>
    <d v="2026-03-11T18:16:19"/>
    <s v="anonymous"/>
    <m/>
    <m/>
    <x v="0"/>
    <x v="1"/>
    <x v="0"/>
    <x v="3"/>
    <x v="0"/>
    <x v="2"/>
    <x v="0"/>
    <x v="0"/>
    <x v="0"/>
    <m/>
  </r>
  <r>
    <n v="5"/>
    <d v="2026-03-11T18:16:22"/>
    <d v="2026-03-11T18:18:18"/>
    <s v="anonymous"/>
    <m/>
    <m/>
    <x v="0"/>
    <x v="0"/>
    <x v="2"/>
    <x v="2"/>
    <x v="1"/>
    <x v="0"/>
    <x v="1"/>
    <x v="0"/>
    <x v="0"/>
    <m/>
  </r>
  <r>
    <n v="6"/>
    <d v="2026-03-11T18:18:35"/>
    <d v="2026-03-11T18:19:39"/>
    <s v="anonymous"/>
    <m/>
    <m/>
    <x v="0"/>
    <x v="0"/>
    <x v="0"/>
    <x v="0"/>
    <x v="1"/>
    <x v="2"/>
    <x v="0"/>
    <x v="0"/>
    <x v="0"/>
    <m/>
  </r>
  <r>
    <n v="7"/>
    <d v="2026-03-11T18:19:19"/>
    <d v="2026-03-11T18:20:09"/>
    <s v="anonymous"/>
    <m/>
    <m/>
    <x v="1"/>
    <x v="1"/>
    <x v="3"/>
    <x v="2"/>
    <x v="1"/>
    <x v="3"/>
    <x v="1"/>
    <x v="0"/>
    <x v="0"/>
    <m/>
  </r>
  <r>
    <n v="8"/>
    <d v="2026-03-11T18:19:42"/>
    <d v="2026-03-11T18:20:56"/>
    <s v="anonymous"/>
    <m/>
    <m/>
    <x v="0"/>
    <x v="0"/>
    <x v="0"/>
    <x v="4"/>
    <x v="0"/>
    <x v="0"/>
    <x v="0"/>
    <x v="0"/>
    <x v="0"/>
    <m/>
  </r>
  <r>
    <n v="9"/>
    <d v="2026-03-11T18:23:15"/>
    <d v="2026-03-11T18:23:48"/>
    <s v="anonymous"/>
    <m/>
    <m/>
    <x v="2"/>
    <x v="1"/>
    <x v="0"/>
    <x v="4"/>
    <x v="0"/>
    <x v="0"/>
    <x v="0"/>
    <x v="1"/>
    <x v="1"/>
    <m/>
  </r>
  <r>
    <n v="10"/>
    <d v="2026-03-11T18:23:18"/>
    <d v="2026-03-11T18:24:34"/>
    <s v="anonymous"/>
    <m/>
    <m/>
    <x v="0"/>
    <x v="2"/>
    <x v="3"/>
    <x v="2"/>
    <x v="2"/>
    <x v="1"/>
    <x v="1"/>
    <x v="0"/>
    <x v="0"/>
    <m/>
  </r>
  <r>
    <n v="11"/>
    <d v="2026-03-11T18:24:41"/>
    <d v="2026-03-11T18:26:09"/>
    <s v="anonymous"/>
    <m/>
    <m/>
    <x v="0"/>
    <x v="0"/>
    <x v="0"/>
    <x v="2"/>
    <x v="3"/>
    <x v="2"/>
    <x v="1"/>
    <x v="0"/>
    <x v="0"/>
    <m/>
  </r>
  <r>
    <n v="12"/>
    <d v="2026-03-11T18:26:16"/>
    <d v="2026-03-11T18:27:42"/>
    <s v="anonymous"/>
    <m/>
    <m/>
    <x v="0"/>
    <x v="1"/>
    <x v="3"/>
    <x v="2"/>
    <x v="0"/>
    <x v="1"/>
    <x v="1"/>
    <x v="0"/>
    <x v="0"/>
    <m/>
  </r>
  <r>
    <n v="13"/>
    <d v="2026-03-11T18:28:57"/>
    <d v="2026-03-11T18:30:48"/>
    <s v="anonymous"/>
    <m/>
    <m/>
    <x v="0"/>
    <x v="0"/>
    <x v="0"/>
    <x v="2"/>
    <x v="2"/>
    <x v="1"/>
    <x v="1"/>
    <x v="0"/>
    <x v="0"/>
    <m/>
  </r>
  <r>
    <n v="14"/>
    <d v="2026-03-11T18:31:05"/>
    <d v="2026-03-11T18:32:26"/>
    <s v="anonymous"/>
    <m/>
    <m/>
    <x v="0"/>
    <x v="0"/>
    <x v="0"/>
    <x v="0"/>
    <x v="3"/>
    <x v="1"/>
    <x v="0"/>
    <x v="0"/>
    <x v="0"/>
    <s v="tiempos de atención un pcoo lentos"/>
  </r>
  <r>
    <n v="15"/>
    <d v="2026-03-11T18:32:34"/>
    <d v="2026-03-11T18:33:28"/>
    <s v="anonymous"/>
    <m/>
    <m/>
    <x v="0"/>
    <x v="1"/>
    <x v="0"/>
    <x v="2"/>
    <x v="2"/>
    <x v="1"/>
    <x v="1"/>
    <x v="0"/>
    <x v="0"/>
    <s v="n/a"/>
  </r>
  <r>
    <n v="16"/>
    <d v="2026-03-11T18:33:43"/>
    <d v="2026-03-11T18:35:16"/>
    <s v="anonymous"/>
    <m/>
    <m/>
    <x v="0"/>
    <x v="3"/>
    <x v="0"/>
    <x v="2"/>
    <x v="0"/>
    <x v="3"/>
    <x v="1"/>
    <x v="1"/>
    <x v="0"/>
    <s v="ninguno"/>
  </r>
  <r>
    <n v="17"/>
    <d v="2026-03-11T18:35:49"/>
    <d v="2026-03-11T18:36:56"/>
    <s v="anonymous"/>
    <m/>
    <m/>
    <x v="0"/>
    <x v="1"/>
    <x v="0"/>
    <x v="0"/>
    <x v="0"/>
    <x v="4"/>
    <x v="1"/>
    <x v="1"/>
    <x v="0"/>
    <m/>
  </r>
  <r>
    <n v="18"/>
    <d v="2026-03-11T19:38:28"/>
    <d v="2026-03-11T19:39:11"/>
    <s v="anonymous"/>
    <m/>
    <m/>
    <x v="0"/>
    <x v="0"/>
    <x v="2"/>
    <x v="4"/>
    <x v="0"/>
    <x v="0"/>
    <x v="1"/>
    <x v="1"/>
    <x v="0"/>
    <m/>
  </r>
  <r>
    <m/>
    <m/>
    <m/>
    <s v="anonymous"/>
    <m/>
    <m/>
    <x v="0"/>
    <x v="0"/>
    <x v="2"/>
    <x v="4"/>
    <x v="0"/>
    <x v="0"/>
    <x v="1"/>
    <x v="1"/>
    <x v="0"/>
    <m/>
  </r>
  <r>
    <m/>
    <m/>
    <m/>
    <s v="anonymous"/>
    <m/>
    <m/>
    <x v="0"/>
    <x v="1"/>
    <x v="2"/>
    <x v="4"/>
    <x v="0"/>
    <x v="4"/>
    <x v="1"/>
    <x v="1"/>
    <x v="0"/>
    <m/>
  </r>
  <r>
    <m/>
    <m/>
    <m/>
    <s v="anonymous"/>
    <m/>
    <m/>
    <x v="0"/>
    <x v="1"/>
    <x v="2"/>
    <x v="0"/>
    <x v="0"/>
    <x v="4"/>
    <x v="0"/>
    <x v="1"/>
    <x v="0"/>
    <m/>
  </r>
  <r>
    <m/>
    <m/>
    <m/>
    <s v="anonymous"/>
    <m/>
    <m/>
    <x v="0"/>
    <x v="0"/>
    <x v="0"/>
    <x v="4"/>
    <x v="2"/>
    <x v="0"/>
    <x v="0"/>
    <x v="1"/>
    <x v="0"/>
    <m/>
  </r>
  <r>
    <m/>
    <m/>
    <m/>
    <s v="anonymous"/>
    <m/>
    <m/>
    <x v="0"/>
    <x v="0"/>
    <x v="2"/>
    <x v="0"/>
    <x v="3"/>
    <x v="0"/>
    <x v="0"/>
    <x v="1"/>
    <x v="0"/>
    <m/>
  </r>
  <r>
    <m/>
    <m/>
    <m/>
    <s v="anonymous"/>
    <m/>
    <m/>
    <x v="0"/>
    <x v="0"/>
    <x v="2"/>
    <x v="4"/>
    <x v="0"/>
    <x v="4"/>
    <x v="0"/>
    <x v="1"/>
    <x v="0"/>
    <m/>
  </r>
  <r>
    <m/>
    <m/>
    <m/>
    <s v="anonymous"/>
    <m/>
    <m/>
    <x v="0"/>
    <x v="1"/>
    <x v="0"/>
    <x v="4"/>
    <x v="0"/>
    <x v="4"/>
    <x v="0"/>
    <x v="1"/>
    <x v="0"/>
    <m/>
  </r>
  <r>
    <m/>
    <m/>
    <m/>
    <s v="anonymous"/>
    <m/>
    <m/>
    <x v="0"/>
    <x v="0"/>
    <x v="2"/>
    <x v="4"/>
    <x v="3"/>
    <x v="4"/>
    <x v="0"/>
    <x v="0"/>
    <x v="0"/>
    <m/>
  </r>
  <r>
    <m/>
    <m/>
    <m/>
    <s v="anonymous"/>
    <m/>
    <m/>
    <x v="0"/>
    <x v="0"/>
    <x v="2"/>
    <x v="4"/>
    <x v="0"/>
    <x v="4"/>
    <x v="0"/>
    <x v="0"/>
    <x v="0"/>
    <m/>
  </r>
  <r>
    <m/>
    <m/>
    <m/>
    <s v="anonymous"/>
    <m/>
    <m/>
    <x v="0"/>
    <x v="1"/>
    <x v="2"/>
    <x v="4"/>
    <x v="2"/>
    <x v="0"/>
    <x v="0"/>
    <x v="0"/>
    <x v="0"/>
    <m/>
  </r>
  <r>
    <m/>
    <m/>
    <m/>
    <s v="anonymous"/>
    <m/>
    <m/>
    <x v="0"/>
    <x v="0"/>
    <x v="0"/>
    <x v="0"/>
    <x v="0"/>
    <x v="4"/>
    <x v="0"/>
    <x v="0"/>
    <x v="0"/>
    <m/>
  </r>
  <r>
    <m/>
    <m/>
    <m/>
    <s v="anonymous"/>
    <m/>
    <m/>
    <x v="0"/>
    <x v="0"/>
    <x v="2"/>
    <x v="4"/>
    <x v="3"/>
    <x v="4"/>
    <x v="0"/>
    <x v="0"/>
    <x v="0"/>
    <m/>
  </r>
  <r>
    <m/>
    <m/>
    <m/>
    <s v="anonymous"/>
    <m/>
    <m/>
    <x v="0"/>
    <x v="1"/>
    <x v="2"/>
    <x v="4"/>
    <x v="0"/>
    <x v="0"/>
    <x v="0"/>
    <x v="1"/>
    <x v="0"/>
    <m/>
  </r>
  <r>
    <m/>
    <m/>
    <m/>
    <s v="anonymous"/>
    <m/>
    <m/>
    <x v="0"/>
    <x v="0"/>
    <x v="2"/>
    <x v="0"/>
    <x v="0"/>
    <x v="4"/>
    <x v="0"/>
    <x v="1"/>
    <x v="0"/>
    <m/>
  </r>
  <r>
    <m/>
    <m/>
    <m/>
    <s v="anonymous"/>
    <m/>
    <m/>
    <x v="0"/>
    <x v="0"/>
    <x v="2"/>
    <x v="4"/>
    <x v="0"/>
    <x v="4"/>
    <x v="0"/>
    <x v="1"/>
    <x v="0"/>
    <m/>
  </r>
  <r>
    <m/>
    <m/>
    <m/>
    <s v="anonymous"/>
    <m/>
    <m/>
    <x v="0"/>
    <x v="1"/>
    <x v="2"/>
    <x v="0"/>
    <x v="0"/>
    <x v="4"/>
    <x v="0"/>
    <x v="1"/>
    <x v="0"/>
    <m/>
  </r>
  <r>
    <m/>
    <m/>
    <m/>
    <s v="anonymous"/>
    <m/>
    <m/>
    <x v="0"/>
    <x v="0"/>
    <x v="0"/>
    <x v="4"/>
    <x v="3"/>
    <x v="0"/>
    <x v="0"/>
    <x v="0"/>
    <x v="0"/>
    <m/>
  </r>
  <r>
    <m/>
    <m/>
    <m/>
    <s v="anonymous"/>
    <m/>
    <m/>
    <x v="0"/>
    <x v="0"/>
    <x v="2"/>
    <x v="4"/>
    <x v="0"/>
    <x v="4"/>
    <x v="0"/>
    <x v="0"/>
    <x v="0"/>
    <m/>
  </r>
  <r>
    <m/>
    <m/>
    <m/>
    <s v="anonymous"/>
    <m/>
    <m/>
    <x v="0"/>
    <x v="0"/>
    <x v="2"/>
    <x v="4"/>
    <x v="2"/>
    <x v="0"/>
    <x v="0"/>
    <x v="0"/>
    <x v="0"/>
    <m/>
  </r>
  <r>
    <m/>
    <m/>
    <m/>
    <s v="anonymous"/>
    <m/>
    <m/>
    <x v="0"/>
    <x v="0"/>
    <x v="2"/>
    <x v="4"/>
    <x v="3"/>
    <x v="4"/>
    <x v="0"/>
    <x v="0"/>
    <x v="0"/>
    <m/>
  </r>
  <r>
    <m/>
    <m/>
    <m/>
    <s v="anonymous"/>
    <m/>
    <m/>
    <x v="0"/>
    <x v="0"/>
    <x v="0"/>
    <x v="4"/>
    <x v="3"/>
    <x v="4"/>
    <x v="0"/>
    <x v="0"/>
    <x v="0"/>
    <m/>
  </r>
  <r>
    <m/>
    <m/>
    <m/>
    <s v="anonymous"/>
    <m/>
    <m/>
    <x v="0"/>
    <x v="1"/>
    <x v="2"/>
    <x v="0"/>
    <x v="2"/>
    <x v="0"/>
    <x v="0"/>
    <x v="0"/>
    <x v="0"/>
    <m/>
  </r>
  <r>
    <m/>
    <m/>
    <m/>
    <s v="anonymous"/>
    <m/>
    <m/>
    <x v="0"/>
    <x v="0"/>
    <x v="2"/>
    <x v="4"/>
    <x v="0"/>
    <x v="4"/>
    <x v="0"/>
    <x v="0"/>
    <x v="0"/>
    <m/>
  </r>
  <r>
    <m/>
    <m/>
    <m/>
    <s v="anonymous"/>
    <m/>
    <m/>
    <x v="0"/>
    <x v="0"/>
    <x v="2"/>
    <x v="4"/>
    <x v="3"/>
    <x v="4"/>
    <x v="0"/>
    <x v="0"/>
    <x v="0"/>
    <m/>
  </r>
  <r>
    <m/>
    <m/>
    <m/>
    <s v="anonymous"/>
    <m/>
    <m/>
    <x v="0"/>
    <x v="1"/>
    <x v="2"/>
    <x v="4"/>
    <x v="2"/>
    <x v="4"/>
    <x v="0"/>
    <x v="0"/>
    <x v="0"/>
    <m/>
  </r>
  <r>
    <m/>
    <m/>
    <m/>
    <s v="anonymous"/>
    <m/>
    <m/>
    <x v="0"/>
    <x v="0"/>
    <x v="0"/>
    <x v="4"/>
    <x v="3"/>
    <x v="4"/>
    <x v="0"/>
    <x v="0"/>
    <x v="0"/>
    <m/>
  </r>
  <r>
    <m/>
    <m/>
    <m/>
    <s v="anonymous"/>
    <m/>
    <m/>
    <x v="0"/>
    <x v="0"/>
    <x v="2"/>
    <x v="0"/>
    <x v="2"/>
    <x v="0"/>
    <x v="0"/>
    <x v="0"/>
    <x v="0"/>
    <m/>
  </r>
  <r>
    <m/>
    <m/>
    <m/>
    <s v="anonymous"/>
    <m/>
    <m/>
    <x v="0"/>
    <x v="1"/>
    <x v="2"/>
    <x v="4"/>
    <x v="0"/>
    <x v="4"/>
    <x v="0"/>
    <x v="0"/>
    <x v="0"/>
    <m/>
  </r>
  <r>
    <m/>
    <m/>
    <m/>
    <s v="anonymous"/>
    <m/>
    <m/>
    <x v="0"/>
    <x v="0"/>
    <x v="0"/>
    <x v="4"/>
    <x v="0"/>
    <x v="4"/>
    <x v="1"/>
    <x v="0"/>
    <x v="0"/>
    <m/>
  </r>
  <r>
    <m/>
    <m/>
    <m/>
    <s v="anonymous"/>
    <m/>
    <m/>
    <x v="0"/>
    <x v="0"/>
    <x v="2"/>
    <x v="4"/>
    <x v="3"/>
    <x v="4"/>
    <x v="0"/>
    <x v="0"/>
    <x v="0"/>
    <m/>
  </r>
  <r>
    <m/>
    <m/>
    <m/>
    <s v="anonymous"/>
    <m/>
    <m/>
    <x v="0"/>
    <x v="1"/>
    <x v="2"/>
    <x v="4"/>
    <x v="0"/>
    <x v="4"/>
    <x v="1"/>
    <x v="0"/>
    <x v="0"/>
    <m/>
  </r>
  <r>
    <m/>
    <m/>
    <m/>
    <s v="anonymous"/>
    <m/>
    <m/>
    <x v="0"/>
    <x v="0"/>
    <x v="0"/>
    <x v="4"/>
    <x v="0"/>
    <x v="4"/>
    <x v="1"/>
    <x v="0"/>
    <x v="0"/>
    <m/>
  </r>
  <r>
    <m/>
    <m/>
    <m/>
    <s v="anonymous"/>
    <m/>
    <m/>
    <x v="0"/>
    <x v="1"/>
    <x v="2"/>
    <x v="4"/>
    <x v="0"/>
    <x v="4"/>
    <x v="1"/>
    <x v="0"/>
    <x v="0"/>
    <m/>
  </r>
  <r>
    <m/>
    <m/>
    <m/>
    <m/>
    <m/>
    <m/>
    <x v="1"/>
    <x v="1"/>
    <x v="0"/>
    <x v="0"/>
    <x v="2"/>
    <x v="0"/>
    <x v="1"/>
    <x v="0"/>
    <x v="0"/>
    <m/>
  </r>
  <r>
    <m/>
    <m/>
    <m/>
    <m/>
    <m/>
    <m/>
    <x v="1"/>
    <x v="1"/>
    <x v="0"/>
    <x v="4"/>
    <x v="2"/>
    <x v="1"/>
    <x v="1"/>
    <x v="0"/>
    <x v="0"/>
    <m/>
  </r>
  <r>
    <m/>
    <m/>
    <m/>
    <m/>
    <m/>
    <m/>
    <x v="1"/>
    <x v="2"/>
    <x v="0"/>
    <x v="1"/>
    <x v="2"/>
    <x v="1"/>
    <x v="1"/>
    <x v="0"/>
    <x v="0"/>
    <m/>
  </r>
  <r>
    <m/>
    <m/>
    <m/>
    <m/>
    <m/>
    <m/>
    <x v="1"/>
    <x v="1"/>
    <x v="0"/>
    <x v="1"/>
    <x v="3"/>
    <x v="1"/>
    <x v="1"/>
    <x v="0"/>
    <x v="0"/>
    <m/>
  </r>
  <r>
    <m/>
    <m/>
    <m/>
    <m/>
    <m/>
    <m/>
    <x v="1"/>
    <x v="1"/>
    <x v="1"/>
    <x v="1"/>
    <x v="2"/>
    <x v="1"/>
    <x v="1"/>
    <x v="0"/>
    <x v="0"/>
    <m/>
  </r>
  <r>
    <m/>
    <m/>
    <m/>
    <m/>
    <m/>
    <m/>
    <x v="1"/>
    <x v="1"/>
    <x v="1"/>
    <x v="1"/>
    <x v="2"/>
    <x v="1"/>
    <x v="1"/>
    <x v="0"/>
    <x v="0"/>
    <m/>
  </r>
  <r>
    <m/>
    <m/>
    <m/>
    <m/>
    <m/>
    <m/>
    <x v="1"/>
    <x v="1"/>
    <x v="1"/>
    <x v="1"/>
    <x v="2"/>
    <x v="1"/>
    <x v="1"/>
    <x v="0"/>
    <x v="0"/>
    <m/>
  </r>
  <r>
    <m/>
    <m/>
    <m/>
    <m/>
    <m/>
    <m/>
    <x v="1"/>
    <x v="2"/>
    <x v="1"/>
    <x v="1"/>
    <x v="2"/>
    <x v="1"/>
    <x v="1"/>
    <x v="0"/>
    <x v="0"/>
    <m/>
  </r>
  <r>
    <m/>
    <m/>
    <m/>
    <m/>
    <m/>
    <m/>
    <x v="1"/>
    <x v="1"/>
    <x v="1"/>
    <x v="1"/>
    <x v="2"/>
    <x v="1"/>
    <x v="1"/>
    <x v="0"/>
    <x v="0"/>
    <m/>
  </r>
  <r>
    <m/>
    <m/>
    <m/>
    <m/>
    <m/>
    <m/>
    <x v="1"/>
    <x v="1"/>
    <x v="1"/>
    <x v="1"/>
    <x v="2"/>
    <x v="1"/>
    <x v="1"/>
    <x v="0"/>
    <x v="0"/>
    <m/>
  </r>
  <r>
    <m/>
    <m/>
    <m/>
    <m/>
    <m/>
    <m/>
    <x v="1"/>
    <x v="1"/>
    <x v="1"/>
    <x v="1"/>
    <x v="3"/>
    <x v="1"/>
    <x v="1"/>
    <x v="0"/>
    <x v="0"/>
    <m/>
  </r>
  <r>
    <m/>
    <m/>
    <m/>
    <m/>
    <m/>
    <m/>
    <x v="1"/>
    <x v="0"/>
    <x v="1"/>
    <x v="1"/>
    <x v="3"/>
    <x v="1"/>
    <x v="1"/>
    <x v="0"/>
    <x v="0"/>
    <m/>
  </r>
  <r>
    <m/>
    <m/>
    <m/>
    <m/>
    <m/>
    <m/>
    <x v="1"/>
    <x v="0"/>
    <x v="1"/>
    <x v="1"/>
    <x v="3"/>
    <x v="0"/>
    <x v="1"/>
    <x v="0"/>
    <x v="0"/>
    <m/>
  </r>
  <r>
    <m/>
    <m/>
    <m/>
    <m/>
    <m/>
    <m/>
    <x v="3"/>
    <x v="2"/>
    <x v="0"/>
    <x v="4"/>
    <x v="0"/>
    <x v="1"/>
    <x v="0"/>
    <x v="0"/>
    <x v="0"/>
    <m/>
  </r>
  <r>
    <m/>
    <m/>
    <m/>
    <m/>
    <m/>
    <m/>
    <x v="3"/>
    <x v="2"/>
    <x v="0"/>
    <x v="4"/>
    <x v="0"/>
    <x v="1"/>
    <x v="0"/>
    <x v="0"/>
    <x v="0"/>
    <m/>
  </r>
  <r>
    <m/>
    <m/>
    <m/>
    <m/>
    <m/>
    <m/>
    <x v="3"/>
    <x v="2"/>
    <x v="2"/>
    <x v="4"/>
    <x v="0"/>
    <x v="1"/>
    <x v="0"/>
    <x v="0"/>
    <x v="0"/>
    <m/>
  </r>
  <r>
    <m/>
    <m/>
    <m/>
    <m/>
    <m/>
    <m/>
    <x v="3"/>
    <x v="2"/>
    <x v="2"/>
    <x v="4"/>
    <x v="0"/>
    <x v="0"/>
    <x v="0"/>
    <x v="1"/>
    <x v="0"/>
    <m/>
  </r>
  <r>
    <m/>
    <m/>
    <m/>
    <m/>
    <m/>
    <m/>
    <x v="3"/>
    <x v="2"/>
    <x v="0"/>
    <x v="4"/>
    <x v="0"/>
    <x v="0"/>
    <x v="0"/>
    <x v="1"/>
    <x v="0"/>
    <m/>
  </r>
  <r>
    <m/>
    <m/>
    <m/>
    <m/>
    <m/>
    <m/>
    <x v="3"/>
    <x v="2"/>
    <x v="0"/>
    <x v="4"/>
    <x v="0"/>
    <x v="0"/>
    <x v="0"/>
    <x v="1"/>
    <x v="0"/>
    <m/>
  </r>
  <r>
    <m/>
    <m/>
    <m/>
    <m/>
    <m/>
    <m/>
    <x v="3"/>
    <x v="2"/>
    <x v="0"/>
    <x v="4"/>
    <x v="0"/>
    <x v="0"/>
    <x v="0"/>
    <x v="1"/>
    <x v="0"/>
    <m/>
  </r>
  <r>
    <m/>
    <m/>
    <m/>
    <m/>
    <m/>
    <m/>
    <x v="3"/>
    <x v="2"/>
    <x v="2"/>
    <x v="4"/>
    <x v="3"/>
    <x v="2"/>
    <x v="0"/>
    <x v="1"/>
    <x v="0"/>
    <m/>
  </r>
  <r>
    <m/>
    <m/>
    <m/>
    <m/>
    <m/>
    <m/>
    <x v="3"/>
    <x v="2"/>
    <x v="2"/>
    <x v="0"/>
    <x v="3"/>
    <x v="2"/>
    <x v="0"/>
    <x v="1"/>
    <x v="0"/>
    <m/>
  </r>
  <r>
    <m/>
    <m/>
    <m/>
    <m/>
    <m/>
    <m/>
    <x v="3"/>
    <x v="2"/>
    <x v="2"/>
    <x v="0"/>
    <x v="3"/>
    <x v="2"/>
    <x v="0"/>
    <x v="1"/>
    <x v="0"/>
    <m/>
  </r>
  <r>
    <m/>
    <m/>
    <m/>
    <m/>
    <m/>
    <m/>
    <x v="3"/>
    <x v="1"/>
    <x v="2"/>
    <x v="0"/>
    <x v="0"/>
    <x v="2"/>
    <x v="0"/>
    <x v="1"/>
    <x v="0"/>
    <m/>
  </r>
  <r>
    <m/>
    <m/>
    <m/>
    <m/>
    <m/>
    <m/>
    <x v="3"/>
    <x v="1"/>
    <x v="2"/>
    <x v="0"/>
    <x v="0"/>
    <x v="2"/>
    <x v="0"/>
    <x v="1"/>
    <x v="0"/>
    <m/>
  </r>
  <r>
    <m/>
    <m/>
    <m/>
    <m/>
    <m/>
    <m/>
    <x v="3"/>
    <x v="1"/>
    <x v="2"/>
    <x v="0"/>
    <x v="3"/>
    <x v="2"/>
    <x v="0"/>
    <x v="0"/>
    <x v="0"/>
    <m/>
  </r>
  <r>
    <m/>
    <m/>
    <m/>
    <m/>
    <m/>
    <m/>
    <x v="3"/>
    <x v="1"/>
    <x v="2"/>
    <x v="0"/>
    <x v="3"/>
    <x v="2"/>
    <x v="0"/>
    <x v="0"/>
    <x v="0"/>
    <m/>
  </r>
  <r>
    <m/>
    <m/>
    <m/>
    <m/>
    <m/>
    <m/>
    <x v="3"/>
    <x v="1"/>
    <x v="0"/>
    <x v="0"/>
    <x v="3"/>
    <x v="2"/>
    <x v="0"/>
    <x v="0"/>
    <x v="0"/>
    <m/>
  </r>
  <r>
    <m/>
    <m/>
    <m/>
    <m/>
    <m/>
    <m/>
    <x v="3"/>
    <x v="1"/>
    <x v="0"/>
    <x v="0"/>
    <x v="3"/>
    <x v="2"/>
    <x v="0"/>
    <x v="0"/>
    <x v="0"/>
    <m/>
  </r>
  <r>
    <m/>
    <m/>
    <m/>
    <m/>
    <m/>
    <m/>
    <x v="3"/>
    <x v="1"/>
    <x v="0"/>
    <x v="0"/>
    <x v="3"/>
    <x v="2"/>
    <x v="1"/>
    <x v="0"/>
    <x v="0"/>
    <m/>
  </r>
  <r>
    <m/>
    <m/>
    <m/>
    <m/>
    <m/>
    <m/>
    <x v="3"/>
    <x v="1"/>
    <x v="2"/>
    <x v="0"/>
    <x v="0"/>
    <x v="2"/>
    <x v="1"/>
    <x v="0"/>
    <x v="0"/>
    <m/>
  </r>
  <r>
    <m/>
    <m/>
    <m/>
    <m/>
    <m/>
    <m/>
    <x v="3"/>
    <x v="0"/>
    <x v="2"/>
    <x v="1"/>
    <x v="0"/>
    <x v="2"/>
    <x v="1"/>
    <x v="1"/>
    <x v="0"/>
    <m/>
  </r>
  <r>
    <m/>
    <m/>
    <m/>
    <m/>
    <m/>
    <m/>
    <x v="3"/>
    <x v="0"/>
    <x v="2"/>
    <x v="1"/>
    <x v="2"/>
    <x v="2"/>
    <x v="1"/>
    <x v="0"/>
    <x v="0"/>
    <m/>
  </r>
  <r>
    <m/>
    <m/>
    <m/>
    <m/>
    <m/>
    <m/>
    <x v="3"/>
    <x v="0"/>
    <x v="1"/>
    <x v="1"/>
    <x v="2"/>
    <x v="2"/>
    <x v="1"/>
    <x v="0"/>
    <x v="0"/>
    <m/>
  </r>
  <r>
    <m/>
    <m/>
    <m/>
    <m/>
    <m/>
    <m/>
    <x v="3"/>
    <x v="0"/>
    <x v="1"/>
    <x v="0"/>
    <x v="2"/>
    <x v="2"/>
    <x v="1"/>
    <x v="0"/>
    <x v="0"/>
    <m/>
  </r>
  <r>
    <m/>
    <m/>
    <m/>
    <m/>
    <m/>
    <m/>
    <x v="3"/>
    <x v="0"/>
    <x v="1"/>
    <x v="0"/>
    <x v="2"/>
    <x v="2"/>
    <x v="1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AF005-30AD-4765-A2AA-FBC5B64F549E}" name="TablaDinámica9" cacheId="28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">
  <location ref="F16:G22" firstHeaderRow="1" firstDataRow="1" firstDataCol="1"/>
  <pivotFields count="16">
    <pivotField showAll="0"/>
    <pivotField numFmtId="164" showAll="0"/>
    <pivotField numFmtId="164" showAll="0"/>
    <pivotField showAll="0"/>
    <pivotField showAll="0"/>
    <pivotField showAll="0"/>
    <pivotField dataField="1" showAll="0">
      <items count="6">
        <item x="1"/>
        <item x="3"/>
        <item x="2"/>
        <item x="0"/>
        <item m="1" x="4"/>
        <item t="default"/>
      </items>
    </pivotField>
    <pivotField showAll="0">
      <items count="6">
        <item x="2"/>
        <item x="3"/>
        <item x="1"/>
        <item x="0"/>
        <item m="1" x="4"/>
        <item t="default"/>
      </items>
    </pivotField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antidad" fld="6" subtotal="count" baseField="7" baseItem="0"/>
  </dataFields>
  <formats count="15">
    <format dxfId="506">
      <pivotArea type="all" dataOnly="0" outline="0" fieldPosition="0"/>
    </format>
    <format dxfId="505">
      <pivotArea outline="0" collapsedLevelsAreSubtotals="1" fieldPosition="0"/>
    </format>
    <format dxfId="504">
      <pivotArea field="7" type="button" dataOnly="0" labelOnly="1" outline="0"/>
    </format>
    <format dxfId="503">
      <pivotArea dataOnly="0" labelOnly="1" grandRow="1" outline="0" fieldPosition="0"/>
    </format>
    <format dxfId="502">
      <pivotArea dataOnly="0" labelOnly="1" outline="0" axis="axisValues" fieldPosition="0"/>
    </format>
    <format dxfId="501">
      <pivotArea type="all" dataOnly="0" outline="0" fieldPosition="0"/>
    </format>
    <format dxfId="500">
      <pivotArea outline="0" collapsedLevelsAreSubtotals="1" fieldPosition="0"/>
    </format>
    <format dxfId="499">
      <pivotArea field="7" type="button" dataOnly="0" labelOnly="1" outline="0"/>
    </format>
    <format dxfId="498">
      <pivotArea dataOnly="0" labelOnly="1" grandRow="1" outline="0" fieldPosition="0"/>
    </format>
    <format dxfId="497">
      <pivotArea dataOnly="0" labelOnly="1" outline="0" axis="axisValues" fieldPosition="0"/>
    </format>
    <format dxfId="496">
      <pivotArea type="all" dataOnly="0" outline="0" fieldPosition="0"/>
    </format>
    <format dxfId="495">
      <pivotArea outline="0" collapsedLevelsAreSubtotals="1" fieldPosition="0"/>
    </format>
    <format dxfId="494">
      <pivotArea field="7" type="button" dataOnly="0" labelOnly="1" outline="0"/>
    </format>
    <format dxfId="493">
      <pivotArea dataOnly="0" labelOnly="1" grandRow="1" outline="0" fieldPosition="0"/>
    </format>
    <format dxfId="49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B0361-7D56-4A97-901C-CB37111860B6}" name="TablaDinámica8" cacheId="2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>
  <location ref="J23:K26" firstHeaderRow="1" firstDataRow="1" firstDataCol="1"/>
  <pivotFields count="16">
    <pivotField showAll="0"/>
    <pivotField numFmtId="164" showAll="0"/>
    <pivotField numFmtId="164" showAll="0"/>
    <pivotField showAll="0"/>
    <pivotField showAll="0"/>
    <pivotField showAll="0"/>
    <pivotField dataField="1" showAll="0">
      <items count="6">
        <item x="1"/>
        <item x="3"/>
        <item x="2"/>
        <item x="0"/>
        <item m="1" x="4"/>
        <item t="default"/>
      </items>
    </pivotField>
    <pivotField showAll="0">
      <items count="6">
        <item x="2"/>
        <item x="3"/>
        <item x="1"/>
        <item x="0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>
      <items count="3">
        <item x="1"/>
        <item x="0"/>
        <item t="default"/>
      </items>
    </pivotField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antidad" fld="6" subtotal="count" baseField="7" baseItem="0"/>
  </dataFields>
  <formats count="15">
    <format dxfId="521">
      <pivotArea type="all" dataOnly="0" outline="0" fieldPosition="0"/>
    </format>
    <format dxfId="520">
      <pivotArea outline="0" collapsedLevelsAreSubtotals="1" fieldPosition="0"/>
    </format>
    <format dxfId="519">
      <pivotArea field="7" type="button" dataOnly="0" labelOnly="1" outline="0"/>
    </format>
    <format dxfId="518">
      <pivotArea dataOnly="0" labelOnly="1" grandRow="1" outline="0" fieldPosition="0"/>
    </format>
    <format dxfId="517">
      <pivotArea dataOnly="0" labelOnly="1" outline="0" axis="axisValues" fieldPosition="0"/>
    </format>
    <format dxfId="516">
      <pivotArea type="all" dataOnly="0" outline="0" fieldPosition="0"/>
    </format>
    <format dxfId="515">
      <pivotArea outline="0" collapsedLevelsAreSubtotals="1" fieldPosition="0"/>
    </format>
    <format dxfId="514">
      <pivotArea field="7" type="button" dataOnly="0" labelOnly="1" outline="0"/>
    </format>
    <format dxfId="513">
      <pivotArea dataOnly="0" labelOnly="1" grandRow="1" outline="0" fieldPosition="0"/>
    </format>
    <format dxfId="512">
      <pivotArea dataOnly="0" labelOnly="1" outline="0" axis="axisValues" fieldPosition="0"/>
    </format>
    <format dxfId="511">
      <pivotArea type="all" dataOnly="0" outline="0" fieldPosition="0"/>
    </format>
    <format dxfId="510">
      <pivotArea outline="0" collapsedLevelsAreSubtotals="1" fieldPosition="0"/>
    </format>
    <format dxfId="509">
      <pivotArea field="7" type="button" dataOnly="0" labelOnly="1" outline="0"/>
    </format>
    <format dxfId="508">
      <pivotArea dataOnly="0" labelOnly="1" grandRow="1" outline="0" fieldPosition="0"/>
    </format>
    <format dxfId="50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AD2B9-D0C5-409A-A31B-9E7BEE730C7F}" name="TablaDinámica2" cacheId="2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>
  <location ref="F7:G12" firstHeaderRow="1" firstDataRow="1" firstDataCol="1"/>
  <pivotFields count="16">
    <pivotField showAll="0"/>
    <pivotField numFmtId="164" showAll="0"/>
    <pivotField numFmtId="164" showAll="0"/>
    <pivotField showAll="0"/>
    <pivotField showAll="0"/>
    <pivotField showAll="0"/>
    <pivotField dataField="1" showAll="0">
      <items count="6">
        <item x="1"/>
        <item x="3"/>
        <item x="2"/>
        <item x="0"/>
        <item m="1" x="4"/>
        <item t="default"/>
      </items>
    </pivotField>
    <pivotField showAll="0">
      <items count="6">
        <item x="2"/>
        <item x="3"/>
        <item x="1"/>
        <item x="0"/>
        <item m="1" x="4"/>
        <item t="default"/>
      </items>
    </pivotField>
    <pivotField axis="axisRow" showAll="0">
      <items count="6">
        <item x="0"/>
        <item x="2"/>
        <item x="1"/>
        <item x="3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antidad" fld="6" subtotal="count" baseField="7" baseItem="0"/>
  </dataFields>
  <formats count="15">
    <format dxfId="536">
      <pivotArea type="all" dataOnly="0" outline="0" fieldPosition="0"/>
    </format>
    <format dxfId="535">
      <pivotArea outline="0" collapsedLevelsAreSubtotals="1" fieldPosition="0"/>
    </format>
    <format dxfId="534">
      <pivotArea field="7" type="button" dataOnly="0" labelOnly="1" outline="0"/>
    </format>
    <format dxfId="533">
      <pivotArea dataOnly="0" labelOnly="1" grandRow="1" outline="0" fieldPosition="0"/>
    </format>
    <format dxfId="532">
      <pivotArea dataOnly="0" labelOnly="1" outline="0" axis="axisValues" fieldPosition="0"/>
    </format>
    <format dxfId="531">
      <pivotArea type="all" dataOnly="0" outline="0" fieldPosition="0"/>
    </format>
    <format dxfId="530">
      <pivotArea outline="0" collapsedLevelsAreSubtotals="1" fieldPosition="0"/>
    </format>
    <format dxfId="529">
      <pivotArea field="7" type="button" dataOnly="0" labelOnly="1" outline="0"/>
    </format>
    <format dxfId="528">
      <pivotArea dataOnly="0" labelOnly="1" grandRow="1" outline="0" fieldPosition="0"/>
    </format>
    <format dxfId="527">
      <pivotArea dataOnly="0" labelOnly="1" outline="0" axis="axisValues" fieldPosition="0"/>
    </format>
    <format dxfId="526">
      <pivotArea type="all" dataOnly="0" outline="0" fieldPosition="0"/>
    </format>
    <format dxfId="525">
      <pivotArea outline="0" collapsedLevelsAreSubtotals="1" fieldPosition="0"/>
    </format>
    <format dxfId="524">
      <pivotArea field="7" type="button" dataOnly="0" labelOnly="1" outline="0"/>
    </format>
    <format dxfId="523">
      <pivotArea dataOnly="0" labelOnly="1" grandRow="1" outline="0" fieldPosition="0"/>
    </format>
    <format dxfId="5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85251-AF7E-43CB-9E79-13EF15A047A3}" name="TablaDinámica7" cacheId="2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>
  <location ref="J16:K19" firstHeaderRow="1" firstDataRow="1" firstDataCol="1"/>
  <pivotFields count="16">
    <pivotField showAll="0"/>
    <pivotField numFmtId="164" showAll="0"/>
    <pivotField numFmtId="164" showAll="0"/>
    <pivotField showAll="0"/>
    <pivotField showAll="0"/>
    <pivotField showAll="0"/>
    <pivotField dataField="1" showAll="0">
      <items count="6">
        <item x="1"/>
        <item x="3"/>
        <item x="2"/>
        <item x="0"/>
        <item m="1" x="4"/>
        <item t="default"/>
      </items>
    </pivotField>
    <pivotField showAll="0">
      <items count="6">
        <item x="2"/>
        <item x="3"/>
        <item x="1"/>
        <item x="0"/>
        <item m="1"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antidad" fld="6" subtotal="count" baseField="7" baseItem="0"/>
  </dataFields>
  <formats count="15">
    <format dxfId="551">
      <pivotArea type="all" dataOnly="0" outline="0" fieldPosition="0"/>
    </format>
    <format dxfId="550">
      <pivotArea outline="0" collapsedLevelsAreSubtotals="1" fieldPosition="0"/>
    </format>
    <format dxfId="549">
      <pivotArea field="7" type="button" dataOnly="0" labelOnly="1" outline="0"/>
    </format>
    <format dxfId="548">
      <pivotArea dataOnly="0" labelOnly="1" grandRow="1" outline="0" fieldPosition="0"/>
    </format>
    <format dxfId="547">
      <pivotArea dataOnly="0" labelOnly="1" outline="0" axis="axisValues" fieldPosition="0"/>
    </format>
    <format dxfId="546">
      <pivotArea type="all" dataOnly="0" outline="0" fieldPosition="0"/>
    </format>
    <format dxfId="545">
      <pivotArea outline="0" collapsedLevelsAreSubtotals="1" fieldPosition="0"/>
    </format>
    <format dxfId="544">
      <pivotArea field="7" type="button" dataOnly="0" labelOnly="1" outline="0"/>
    </format>
    <format dxfId="543">
      <pivotArea dataOnly="0" labelOnly="1" grandRow="1" outline="0" fieldPosition="0"/>
    </format>
    <format dxfId="542">
      <pivotArea dataOnly="0" labelOnly="1" outline="0" axis="axisValues" fieldPosition="0"/>
    </format>
    <format dxfId="541">
      <pivotArea type="all" dataOnly="0" outline="0" fieldPosition="0"/>
    </format>
    <format dxfId="540">
      <pivotArea outline="0" collapsedLevelsAreSubtotals="1" fieldPosition="0"/>
    </format>
    <format dxfId="539">
      <pivotArea field="7" type="button" dataOnly="0" labelOnly="1" outline="0"/>
    </format>
    <format dxfId="538">
      <pivotArea dataOnly="0" labelOnly="1" grandRow="1" outline="0" fieldPosition="0"/>
    </format>
    <format dxfId="5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2D57D-693B-4CD9-A792-6C714241342A}" name="TablaDinámica1" cacheId="2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>
  <location ref="B7:C12" firstHeaderRow="1" firstDataRow="1" firstDataCol="1"/>
  <pivotFields count="16">
    <pivotField showAll="0" insertBlankRow="1"/>
    <pivotField numFmtId="164" showAll="0" insertBlankRow="1"/>
    <pivotField numFmtId="164" showAll="0" insertBlankRow="1"/>
    <pivotField showAll="0" insertBlankRow="1"/>
    <pivotField showAll="0" insertBlankRow="1"/>
    <pivotField showAll="0" insertBlankRow="1"/>
    <pivotField dataField="1" showAll="0" insertBlankRow="1">
      <items count="6">
        <item x="1"/>
        <item x="3"/>
        <item x="2"/>
        <item x="0"/>
        <item m="1" x="4"/>
        <item t="default"/>
      </items>
    </pivotField>
    <pivotField axis="axisRow" showAll="0" insertBlankRow="1">
      <items count="6">
        <item x="2"/>
        <item x="3"/>
        <item x="1"/>
        <item x="0"/>
        <item m="1" x="4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antidad" fld="6" subtotal="count" baseField="7" baseItem="0"/>
  </dataFields>
  <formats count="18">
    <format dxfId="569">
      <pivotArea type="all" dataOnly="0" outline="0" fieldPosition="0"/>
    </format>
    <format dxfId="568">
      <pivotArea outline="0" collapsedLevelsAreSubtotals="1" fieldPosition="0"/>
    </format>
    <format dxfId="567">
      <pivotArea field="7" type="button" dataOnly="0" labelOnly="1" outline="0" axis="axisRow" fieldPosition="0"/>
    </format>
    <format dxfId="566">
      <pivotArea dataOnly="0" labelOnly="1" fieldPosition="0">
        <references count="1">
          <reference field="7" count="0"/>
        </references>
      </pivotArea>
    </format>
    <format dxfId="565">
      <pivotArea dataOnly="0" labelOnly="1" grandRow="1" outline="0" fieldPosition="0"/>
    </format>
    <format dxfId="564">
      <pivotArea dataOnly="0" labelOnly="1" outline="0" axis="axisValues" fieldPosition="0"/>
    </format>
    <format dxfId="563">
      <pivotArea type="all" dataOnly="0" outline="0" fieldPosition="0"/>
    </format>
    <format dxfId="562">
      <pivotArea outline="0" collapsedLevelsAreSubtotals="1" fieldPosition="0"/>
    </format>
    <format dxfId="561">
      <pivotArea field="7" type="button" dataOnly="0" labelOnly="1" outline="0" axis="axisRow" fieldPosition="0"/>
    </format>
    <format dxfId="560">
      <pivotArea dataOnly="0" labelOnly="1" fieldPosition="0">
        <references count="1">
          <reference field="7" count="0"/>
        </references>
      </pivotArea>
    </format>
    <format dxfId="559">
      <pivotArea dataOnly="0" labelOnly="1" grandRow="1" outline="0" fieldPosition="0"/>
    </format>
    <format dxfId="558">
      <pivotArea dataOnly="0" labelOnly="1" outline="0" axis="axisValues" fieldPosition="0"/>
    </format>
    <format dxfId="557">
      <pivotArea type="all" dataOnly="0" outline="0" fieldPosition="0"/>
    </format>
    <format dxfId="556">
      <pivotArea outline="0" collapsedLevelsAreSubtotals="1" fieldPosition="0"/>
    </format>
    <format dxfId="555">
      <pivotArea field="7" type="button" dataOnly="0" labelOnly="1" outline="0" axis="axisRow" fieldPosition="0"/>
    </format>
    <format dxfId="554">
      <pivotArea dataOnly="0" labelOnly="1" fieldPosition="0">
        <references count="1">
          <reference field="7" count="0"/>
        </references>
      </pivotArea>
    </format>
    <format dxfId="553">
      <pivotArea dataOnly="0" labelOnly="1" grandRow="1" outline="0" fieldPosition="0"/>
    </format>
    <format dxfId="5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4F074-02E2-44D3-A62E-AA415E8442F2}" name="TablaDinámica6" cacheId="2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>
  <location ref="B26:C29" firstHeaderRow="1" firstDataRow="1" firstDataCol="1"/>
  <pivotFields count="16">
    <pivotField showAll="0"/>
    <pivotField numFmtId="164" showAll="0"/>
    <pivotField numFmtId="164" showAll="0"/>
    <pivotField showAll="0"/>
    <pivotField showAll="0"/>
    <pivotField showAll="0"/>
    <pivotField dataField="1" showAll="0">
      <items count="6">
        <item x="1"/>
        <item x="3"/>
        <item x="2"/>
        <item x="0"/>
        <item m="1" x="4"/>
        <item t="default"/>
      </items>
    </pivotField>
    <pivotField showAll="0">
      <items count="6">
        <item x="2"/>
        <item x="3"/>
        <item x="1"/>
        <item x="0"/>
        <item m="1" x="4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m="1" x="2"/>
        <item t="default"/>
      </items>
    </pivotField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antidad" fld="6" subtotal="count" baseField="7" baseItem="0"/>
  </dataFields>
  <formats count="15">
    <format dxfId="584">
      <pivotArea type="all" dataOnly="0" outline="0" fieldPosition="0"/>
    </format>
    <format dxfId="583">
      <pivotArea outline="0" collapsedLevelsAreSubtotals="1" fieldPosition="0"/>
    </format>
    <format dxfId="582">
      <pivotArea field="7" type="button" dataOnly="0" labelOnly="1" outline="0"/>
    </format>
    <format dxfId="581">
      <pivotArea dataOnly="0" labelOnly="1" grandRow="1" outline="0" fieldPosition="0"/>
    </format>
    <format dxfId="580">
      <pivotArea dataOnly="0" labelOnly="1" outline="0" axis="axisValues" fieldPosition="0"/>
    </format>
    <format dxfId="579">
      <pivotArea type="all" dataOnly="0" outline="0" fieldPosition="0"/>
    </format>
    <format dxfId="578">
      <pivotArea outline="0" collapsedLevelsAreSubtotals="1" fieldPosition="0"/>
    </format>
    <format dxfId="577">
      <pivotArea field="7" type="button" dataOnly="0" labelOnly="1" outline="0"/>
    </format>
    <format dxfId="576">
      <pivotArea dataOnly="0" labelOnly="1" grandRow="1" outline="0" fieldPosition="0"/>
    </format>
    <format dxfId="575">
      <pivotArea dataOnly="0" labelOnly="1" outline="0" axis="axisValues" fieldPosition="0"/>
    </format>
    <format dxfId="574">
      <pivotArea type="all" dataOnly="0" outline="0" fieldPosition="0"/>
    </format>
    <format dxfId="573">
      <pivotArea outline="0" collapsedLevelsAreSubtotals="1" fieldPosition="0"/>
    </format>
    <format dxfId="572">
      <pivotArea field="7" type="button" dataOnly="0" labelOnly="1" outline="0"/>
    </format>
    <format dxfId="571">
      <pivotArea dataOnly="0" labelOnly="1" grandRow="1" outline="0" fieldPosition="0"/>
    </format>
    <format dxfId="5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357E4-998D-4D54-94A0-0FB1207FF63B}" name="TablaDinámica5" cacheId="2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>
  <location ref="B16:C22" firstHeaderRow="1" firstDataRow="1" firstDataCol="1"/>
  <pivotFields count="16">
    <pivotField showAll="0"/>
    <pivotField numFmtId="164" showAll="0"/>
    <pivotField numFmtId="164" showAll="0"/>
    <pivotField showAll="0"/>
    <pivotField showAll="0"/>
    <pivotField showAll="0"/>
    <pivotField dataField="1" showAll="0">
      <items count="6">
        <item x="1"/>
        <item x="3"/>
        <item x="2"/>
        <item x="0"/>
        <item m="1" x="4"/>
        <item t="default"/>
      </items>
    </pivotField>
    <pivotField showAll="0">
      <items count="6">
        <item x="2"/>
        <item x="3"/>
        <item x="1"/>
        <item x="0"/>
        <item m="1" x="4"/>
        <item t="default"/>
      </items>
    </pivotField>
    <pivotField showAll="0"/>
    <pivotField axis="axisRow" showAll="0">
      <items count="7">
        <item x="0"/>
        <item x="2"/>
        <item x="4"/>
        <item x="1"/>
        <item x="3"/>
        <item m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antidad" fld="6" subtotal="count" baseField="7" baseItem="0"/>
  </dataFields>
  <formats count="15">
    <format dxfId="599">
      <pivotArea type="all" dataOnly="0" outline="0" fieldPosition="0"/>
    </format>
    <format dxfId="598">
      <pivotArea outline="0" collapsedLevelsAreSubtotals="1" fieldPosition="0"/>
    </format>
    <format dxfId="597">
      <pivotArea field="7" type="button" dataOnly="0" labelOnly="1" outline="0"/>
    </format>
    <format dxfId="596">
      <pivotArea dataOnly="0" labelOnly="1" grandRow="1" outline="0" fieldPosition="0"/>
    </format>
    <format dxfId="595">
      <pivotArea dataOnly="0" labelOnly="1" outline="0" axis="axisValues" fieldPosition="0"/>
    </format>
    <format dxfId="594">
      <pivotArea type="all" dataOnly="0" outline="0" fieldPosition="0"/>
    </format>
    <format dxfId="593">
      <pivotArea outline="0" collapsedLevelsAreSubtotals="1" fieldPosition="0"/>
    </format>
    <format dxfId="592">
      <pivotArea field="7" type="button" dataOnly="0" labelOnly="1" outline="0"/>
    </format>
    <format dxfId="591">
      <pivotArea dataOnly="0" labelOnly="1" grandRow="1" outline="0" fieldPosition="0"/>
    </format>
    <format dxfId="590">
      <pivotArea dataOnly="0" labelOnly="1" outline="0" axis="axisValues" fieldPosition="0"/>
    </format>
    <format dxfId="589">
      <pivotArea type="all" dataOnly="0" outline="0" fieldPosition="0"/>
    </format>
    <format dxfId="588">
      <pivotArea outline="0" collapsedLevelsAreSubtotals="1" fieldPosition="0"/>
    </format>
    <format dxfId="587">
      <pivotArea field="7" type="button" dataOnly="0" labelOnly="1" outline="0"/>
    </format>
    <format dxfId="586">
      <pivotArea dataOnly="0" labelOnly="1" grandRow="1" outline="0" fieldPosition="0"/>
    </format>
    <format dxfId="5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2F630-EFB5-484C-8F36-98904E161BDD}" name="TablaDinámica3" cacheId="2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>
  <location ref="J7:K12" firstHeaderRow="1" firstDataRow="1" firstDataCol="1"/>
  <pivotFields count="16">
    <pivotField showAll="0"/>
    <pivotField numFmtId="164" showAll="0"/>
    <pivotField numFmtId="164" showAll="0"/>
    <pivotField showAll="0"/>
    <pivotField showAll="0"/>
    <pivotField showAll="0"/>
    <pivotField dataField="1" showAll="0">
      <items count="6">
        <item x="1"/>
        <item x="3"/>
        <item x="2"/>
        <item x="0"/>
        <item m="1" x="4"/>
        <item t="default"/>
      </items>
    </pivotField>
    <pivotField showAll="0">
      <items count="6">
        <item x="2"/>
        <item x="3"/>
        <item x="1"/>
        <item x="0"/>
        <item m="1" x="4"/>
        <item t="default"/>
      </items>
    </pivotField>
    <pivotField showAll="0"/>
    <pivotField showAll="0"/>
    <pivotField axis="axisRow" showAll="0">
      <items count="6">
        <item x="0"/>
        <item x="2"/>
        <item x="1"/>
        <item n="Neutral" x="3"/>
        <item m="1" x="4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antidad" fld="6" subtotal="count" baseField="7" baseItem="0"/>
  </dataFields>
  <formats count="15">
    <format dxfId="614">
      <pivotArea type="all" dataOnly="0" outline="0" fieldPosition="0"/>
    </format>
    <format dxfId="613">
      <pivotArea outline="0" collapsedLevelsAreSubtotals="1" fieldPosition="0"/>
    </format>
    <format dxfId="612">
      <pivotArea field="7" type="button" dataOnly="0" labelOnly="1" outline="0"/>
    </format>
    <format dxfId="611">
      <pivotArea dataOnly="0" labelOnly="1" grandRow="1" outline="0" fieldPosition="0"/>
    </format>
    <format dxfId="610">
      <pivotArea dataOnly="0" labelOnly="1" outline="0" axis="axisValues" fieldPosition="0"/>
    </format>
    <format dxfId="609">
      <pivotArea type="all" dataOnly="0" outline="0" fieldPosition="0"/>
    </format>
    <format dxfId="608">
      <pivotArea outline="0" collapsedLevelsAreSubtotals="1" fieldPosition="0"/>
    </format>
    <format dxfId="607">
      <pivotArea field="7" type="button" dataOnly="0" labelOnly="1" outline="0"/>
    </format>
    <format dxfId="606">
      <pivotArea dataOnly="0" labelOnly="1" grandRow="1" outline="0" fieldPosition="0"/>
    </format>
    <format dxfId="605">
      <pivotArea dataOnly="0" labelOnly="1" outline="0" axis="axisValues" fieldPosition="0"/>
    </format>
    <format dxfId="604">
      <pivotArea type="all" dataOnly="0" outline="0" fieldPosition="0"/>
    </format>
    <format dxfId="603">
      <pivotArea outline="0" collapsedLevelsAreSubtotals="1" fieldPosition="0"/>
    </format>
    <format dxfId="602">
      <pivotArea field="7" type="button" dataOnly="0" labelOnly="1" outline="0"/>
    </format>
    <format dxfId="601">
      <pivotArea dataOnly="0" labelOnly="1" grandRow="1" outline="0" fieldPosition="0"/>
    </format>
    <format dxfId="60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Universidad" xr10:uid="{9566DD51-0AAE-4D4F-A48A-661DAAAB56C8}" sourceName="Universidad">
  <pivotTables>
    <pivotTable tabId="2" name="TablaDinámica1"/>
    <pivotTable tabId="2" name="TablaDinámica2"/>
    <pivotTable tabId="2" name="TablaDinámica3"/>
    <pivotTable tabId="2" name="TablaDinámica5"/>
    <pivotTable tabId="2" name="TablaDinámica6"/>
    <pivotTable tabId="2" name="TablaDinámica7"/>
    <pivotTable tabId="2" name="TablaDinámica8"/>
    <pivotTable tabId="2" name="TablaDinámica9"/>
  </pivotTables>
  <data>
    <tabular pivotCacheId="672748752">
      <items count="5">
        <i x="1" s="1"/>
        <i x="3" s="1"/>
        <i x="2" s="1"/>
        <i x="0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versidad" xr10:uid="{4C7A8575-9811-4411-967A-47570ACD8C22}" cache="SegmentaciónDeDatos_Universidad" caption="Universidad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88" totalsRowShown="0">
  <autoFilter ref="A1:P88" xr:uid="{00000000-0009-0000-0100-000001000000}"/>
  <tableColumns count="16">
    <tableColumn id="1" xr3:uid="{00000000-0010-0000-0000-000001000000}" name="ID" dataDxfId="630"/>
    <tableColumn id="2" xr3:uid="{00000000-0010-0000-0000-000002000000}" name="Hora de inicio" dataDxfId="629"/>
    <tableColumn id="3" xr3:uid="{00000000-0010-0000-0000-000003000000}" name="Hora de finalización" dataDxfId="628"/>
    <tableColumn id="4" xr3:uid="{00000000-0010-0000-0000-000004000000}" name="Correo electrónico" dataDxfId="627"/>
    <tableColumn id="5" xr3:uid="{00000000-0010-0000-0000-000005000000}" name="Nombre" dataDxfId="626"/>
    <tableColumn id="6" xr3:uid="{00000000-0010-0000-0000-000006000000}" name="Hora de la última modificación" dataDxfId="625"/>
    <tableColumn id="7" xr3:uid="{00000000-0010-0000-0000-000007000000}" name="Universidad" dataDxfId="624"/>
    <tableColumn id="8" xr3:uid="{00000000-0010-0000-0000-000008000000}" name="¿Con qué frecuencia utiliza la biblioteca de la Universidad?" dataDxfId="623"/>
    <tableColumn id="9" xr3:uid="{00000000-0010-0000-0000-000009000000}" name="Califique el tiempo que tarda el proceso de préstamo del material bibliográfico." dataDxfId="622"/>
    <tableColumn id="10" xr3:uid="{00000000-0010-0000-0000-00000A000000}" name="Califique qué tan ágil y eficiente considera el proceso de devolución de los libros." dataDxfId="621"/>
    <tableColumn id="11" xr3:uid="{00000000-0010-0000-0000-00000B000000}" name="¿Qué tan fácil le resulta encontrar el material bibliográfico que necesita en la biblioteca?" dataDxfId="620"/>
    <tableColumn id="12" xr3:uid="{00000000-0010-0000-0000-00000C000000}" name="¿Cómo califica el funcionamiento del sistema actual de gestión de la biblioteca?" dataDxfId="619"/>
    <tableColumn id="13" xr3:uid="{00000000-0010-0000-0000-00000D000000}" name="¿Considera necesario mejorar o cambiar el sistema actual de gestión de la biblioteca?" dataDxfId="618"/>
    <tableColumn id="14" xr3:uid="{00000000-0010-0000-0000-00000E000000}" name="¿Ha tenido alguna dificultad al momento de prestar o devolver material bibliográfico?" dataDxfId="617"/>
    <tableColumn id="15" xr3:uid="{00000000-0010-0000-0000-00000F000000}" name="¿Cuál ha sido la principal dificultad?" dataDxfId="616"/>
    <tableColumn id="16" xr3:uid="{00000000-0010-0000-0000-000010000000}" name="Comentarios adicionales" dataDxfId="6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opLeftCell="D1" workbookViewId="0">
      <selection activeCell="N84" sqref="N84"/>
    </sheetView>
  </sheetViews>
  <sheetFormatPr baseColWidth="10" defaultColWidth="8.7265625" defaultRowHeight="14.5" x14ac:dyDescent="0.35"/>
  <cols>
    <col min="1" max="10" width="20" bestFit="1" customWidth="1"/>
    <col min="11" max="11" width="20" customWidth="1"/>
    <col min="12" max="16" width="20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s="1">
        <v>46092.746921296297</v>
      </c>
      <c r="C2" s="1">
        <v>46092.751840277801</v>
      </c>
      <c r="D2" t="s">
        <v>16</v>
      </c>
      <c r="F2" s="1"/>
      <c r="G2" t="s">
        <v>17</v>
      </c>
      <c r="H2" t="s">
        <v>18</v>
      </c>
      <c r="I2" t="s">
        <v>19</v>
      </c>
      <c r="J2" t="s">
        <v>19</v>
      </c>
      <c r="K2" t="s">
        <v>20</v>
      </c>
      <c r="L2" t="s">
        <v>19</v>
      </c>
      <c r="M2" t="s">
        <v>21</v>
      </c>
      <c r="N2" t="s">
        <v>22</v>
      </c>
    </row>
    <row r="3" spans="1:16" x14ac:dyDescent="0.35">
      <c r="A3">
        <v>2</v>
      </c>
      <c r="B3" s="1">
        <v>46092.7553356481</v>
      </c>
      <c r="C3" s="1">
        <v>46092.756273148101</v>
      </c>
      <c r="D3" t="s">
        <v>16</v>
      </c>
      <c r="F3" s="1"/>
      <c r="G3" t="s">
        <v>17</v>
      </c>
      <c r="H3" t="s">
        <v>18</v>
      </c>
      <c r="I3" t="s">
        <v>23</v>
      </c>
      <c r="J3" t="s">
        <v>24</v>
      </c>
      <c r="K3" t="s">
        <v>25</v>
      </c>
      <c r="L3" t="s">
        <v>26</v>
      </c>
      <c r="M3" t="s">
        <v>21</v>
      </c>
      <c r="N3" t="s">
        <v>22</v>
      </c>
    </row>
    <row r="4" spans="1:16" x14ac:dyDescent="0.35">
      <c r="A4">
        <v>3</v>
      </c>
      <c r="B4" s="1">
        <v>46092.756423611099</v>
      </c>
      <c r="C4" s="1">
        <v>46092.756828703699</v>
      </c>
      <c r="D4" t="s">
        <v>16</v>
      </c>
      <c r="F4" s="1"/>
      <c r="G4" t="s">
        <v>17</v>
      </c>
      <c r="H4" t="s">
        <v>27</v>
      </c>
      <c r="I4" t="s">
        <v>19</v>
      </c>
      <c r="J4" t="s">
        <v>26</v>
      </c>
      <c r="K4" t="s">
        <v>20</v>
      </c>
      <c r="L4" t="s">
        <v>28</v>
      </c>
      <c r="M4" t="s">
        <v>21</v>
      </c>
      <c r="N4" t="s">
        <v>22</v>
      </c>
    </row>
    <row r="5" spans="1:16" x14ac:dyDescent="0.35">
      <c r="A5">
        <v>4</v>
      </c>
      <c r="B5" s="1">
        <v>46092.7569097222</v>
      </c>
      <c r="C5" s="1">
        <v>46092.761331018497</v>
      </c>
      <c r="D5" t="s">
        <v>16</v>
      </c>
      <c r="F5" s="1"/>
      <c r="G5" t="s">
        <v>17</v>
      </c>
      <c r="H5" t="s">
        <v>27</v>
      </c>
      <c r="I5" t="s">
        <v>19</v>
      </c>
      <c r="J5" t="s">
        <v>29</v>
      </c>
      <c r="K5" t="s">
        <v>20</v>
      </c>
      <c r="L5" t="s">
        <v>28</v>
      </c>
      <c r="M5" t="s">
        <v>21</v>
      </c>
      <c r="N5" t="s">
        <v>22</v>
      </c>
    </row>
    <row r="6" spans="1:16" x14ac:dyDescent="0.35">
      <c r="A6">
        <v>5</v>
      </c>
      <c r="B6" s="1">
        <v>46092.761365740698</v>
      </c>
      <c r="C6" s="1">
        <v>46092.762708333299</v>
      </c>
      <c r="D6" t="s">
        <v>16</v>
      </c>
      <c r="F6" s="1"/>
      <c r="G6" t="s">
        <v>17</v>
      </c>
      <c r="H6" t="s">
        <v>18</v>
      </c>
      <c r="I6" t="s">
        <v>30</v>
      </c>
      <c r="J6" t="s">
        <v>26</v>
      </c>
      <c r="K6" t="s">
        <v>25</v>
      </c>
      <c r="L6" t="s">
        <v>19</v>
      </c>
      <c r="M6" t="s">
        <v>22</v>
      </c>
      <c r="N6" t="s">
        <v>22</v>
      </c>
    </row>
    <row r="7" spans="1:16" x14ac:dyDescent="0.35">
      <c r="A7">
        <v>6</v>
      </c>
      <c r="B7" s="1">
        <v>46092.762905092597</v>
      </c>
      <c r="C7" s="1">
        <v>46092.7636458333</v>
      </c>
      <c r="D7" t="s">
        <v>16</v>
      </c>
      <c r="F7" s="1"/>
      <c r="G7" t="s">
        <v>17</v>
      </c>
      <c r="H7" t="s">
        <v>18</v>
      </c>
      <c r="I7" t="s">
        <v>19</v>
      </c>
      <c r="J7" t="s">
        <v>19</v>
      </c>
      <c r="K7" t="s">
        <v>25</v>
      </c>
      <c r="L7" t="s">
        <v>28</v>
      </c>
      <c r="M7" t="s">
        <v>21</v>
      </c>
      <c r="N7" t="s">
        <v>22</v>
      </c>
    </row>
    <row r="8" spans="1:16" x14ac:dyDescent="0.35">
      <c r="A8">
        <v>7</v>
      </c>
      <c r="B8" s="1">
        <v>46092.763414351903</v>
      </c>
      <c r="C8" s="1">
        <v>46092.763993055603</v>
      </c>
      <c r="D8" t="s">
        <v>16</v>
      </c>
      <c r="F8" s="1"/>
      <c r="G8" t="s">
        <v>54</v>
      </c>
      <c r="H8" t="s">
        <v>27</v>
      </c>
      <c r="I8" t="s">
        <v>31</v>
      </c>
      <c r="J8" t="s">
        <v>26</v>
      </c>
      <c r="K8" t="s">
        <v>25</v>
      </c>
      <c r="L8" t="s">
        <v>24</v>
      </c>
      <c r="M8" t="s">
        <v>22</v>
      </c>
      <c r="N8" t="s">
        <v>22</v>
      </c>
    </row>
    <row r="9" spans="1:16" x14ac:dyDescent="0.35">
      <c r="A9">
        <v>8</v>
      </c>
      <c r="B9" s="1">
        <v>46092.763680555603</v>
      </c>
      <c r="C9" s="1">
        <v>46092.764537037001</v>
      </c>
      <c r="D9" t="s">
        <v>16</v>
      </c>
      <c r="F9" s="1"/>
      <c r="G9" t="s">
        <v>17</v>
      </c>
      <c r="H9" t="s">
        <v>18</v>
      </c>
      <c r="I9" t="s">
        <v>19</v>
      </c>
      <c r="J9" t="s">
        <v>28</v>
      </c>
      <c r="K9" t="s">
        <v>20</v>
      </c>
      <c r="L9" t="s">
        <v>19</v>
      </c>
      <c r="M9" t="s">
        <v>21</v>
      </c>
      <c r="N9" t="s">
        <v>22</v>
      </c>
    </row>
    <row r="10" spans="1:16" x14ac:dyDescent="0.35">
      <c r="A10">
        <v>9</v>
      </c>
      <c r="B10" s="1">
        <v>46092.766145833302</v>
      </c>
      <c r="C10" s="1">
        <v>46092.7665277778</v>
      </c>
      <c r="D10" t="s">
        <v>16</v>
      </c>
      <c r="F10" s="1"/>
      <c r="G10" t="s">
        <v>33</v>
      </c>
      <c r="H10" t="s">
        <v>27</v>
      </c>
      <c r="I10" t="s">
        <v>19</v>
      </c>
      <c r="J10" t="s">
        <v>28</v>
      </c>
      <c r="K10" t="s">
        <v>20</v>
      </c>
      <c r="L10" t="s">
        <v>19</v>
      </c>
      <c r="M10" t="s">
        <v>21</v>
      </c>
      <c r="N10" t="s">
        <v>21</v>
      </c>
      <c r="O10" t="s">
        <v>34</v>
      </c>
    </row>
    <row r="11" spans="1:16" x14ac:dyDescent="0.35">
      <c r="A11">
        <v>10</v>
      </c>
      <c r="B11" s="1">
        <v>46092.766180555598</v>
      </c>
      <c r="C11" s="1">
        <v>46092.767060185201</v>
      </c>
      <c r="D11" t="s">
        <v>16</v>
      </c>
      <c r="F11" s="1"/>
      <c r="G11" t="s">
        <v>17</v>
      </c>
      <c r="H11" t="s">
        <v>35</v>
      </c>
      <c r="I11" t="s">
        <v>31</v>
      </c>
      <c r="J11" t="s">
        <v>26</v>
      </c>
      <c r="K11" t="s">
        <v>32</v>
      </c>
      <c r="L11" t="s">
        <v>26</v>
      </c>
      <c r="M11" t="s">
        <v>22</v>
      </c>
      <c r="N11" t="s">
        <v>22</v>
      </c>
    </row>
    <row r="12" spans="1:16" x14ac:dyDescent="0.35">
      <c r="A12">
        <v>11</v>
      </c>
      <c r="B12" s="1">
        <v>46092.767141203702</v>
      </c>
      <c r="C12" s="1">
        <v>46092.768159722204</v>
      </c>
      <c r="D12" t="s">
        <v>16</v>
      </c>
      <c r="F12" s="1"/>
      <c r="G12" t="s">
        <v>17</v>
      </c>
      <c r="H12" t="s">
        <v>18</v>
      </c>
      <c r="I12" t="s">
        <v>19</v>
      </c>
      <c r="J12" t="s">
        <v>26</v>
      </c>
      <c r="K12" t="s">
        <v>36</v>
      </c>
      <c r="L12" t="s">
        <v>28</v>
      </c>
      <c r="M12" t="s">
        <v>22</v>
      </c>
      <c r="N12" t="s">
        <v>22</v>
      </c>
    </row>
    <row r="13" spans="1:16" x14ac:dyDescent="0.35">
      <c r="A13">
        <v>12</v>
      </c>
      <c r="B13" s="1">
        <v>46092.768240740697</v>
      </c>
      <c r="C13" s="1">
        <v>46092.769236111097</v>
      </c>
      <c r="D13" t="s">
        <v>16</v>
      </c>
      <c r="F13" s="1"/>
      <c r="G13" t="s">
        <v>17</v>
      </c>
      <c r="H13" t="s">
        <v>27</v>
      </c>
      <c r="I13" t="s">
        <v>31</v>
      </c>
      <c r="J13" t="s">
        <v>26</v>
      </c>
      <c r="K13" t="s">
        <v>20</v>
      </c>
      <c r="L13" t="s">
        <v>26</v>
      </c>
      <c r="M13" t="s">
        <v>22</v>
      </c>
      <c r="N13" t="s">
        <v>22</v>
      </c>
    </row>
    <row r="14" spans="1:16" x14ac:dyDescent="0.35">
      <c r="A14">
        <v>13</v>
      </c>
      <c r="B14" s="1">
        <v>46092.770104166702</v>
      </c>
      <c r="C14" s="1">
        <v>46092.771388888897</v>
      </c>
      <c r="D14" t="s">
        <v>16</v>
      </c>
      <c r="F14" s="1"/>
      <c r="G14" t="s">
        <v>17</v>
      </c>
      <c r="H14" t="s">
        <v>18</v>
      </c>
      <c r="I14" t="s">
        <v>19</v>
      </c>
      <c r="J14" t="s">
        <v>26</v>
      </c>
      <c r="K14" t="s">
        <v>32</v>
      </c>
      <c r="L14" t="s">
        <v>26</v>
      </c>
      <c r="M14" t="s">
        <v>22</v>
      </c>
      <c r="N14" t="s">
        <v>22</v>
      </c>
    </row>
    <row r="15" spans="1:16" x14ac:dyDescent="0.35">
      <c r="A15">
        <v>14</v>
      </c>
      <c r="B15" s="1">
        <v>46092.771585648101</v>
      </c>
      <c r="C15" s="1">
        <v>46092.772523148102</v>
      </c>
      <c r="D15" t="s">
        <v>16</v>
      </c>
      <c r="F15" s="1"/>
      <c r="G15" t="s">
        <v>17</v>
      </c>
      <c r="H15" t="s">
        <v>18</v>
      </c>
      <c r="I15" t="s">
        <v>19</v>
      </c>
      <c r="J15" t="s">
        <v>19</v>
      </c>
      <c r="K15" t="s">
        <v>36</v>
      </c>
      <c r="L15" t="s">
        <v>26</v>
      </c>
      <c r="M15" t="s">
        <v>21</v>
      </c>
      <c r="N15" t="s">
        <v>22</v>
      </c>
      <c r="P15" t="s">
        <v>37</v>
      </c>
    </row>
    <row r="16" spans="1:16" x14ac:dyDescent="0.35">
      <c r="A16">
        <v>15</v>
      </c>
      <c r="B16" s="1">
        <v>46092.772615740701</v>
      </c>
      <c r="C16" s="1">
        <v>46092.773240740702</v>
      </c>
      <c r="D16" t="s">
        <v>16</v>
      </c>
      <c r="F16" s="1"/>
      <c r="G16" t="s">
        <v>17</v>
      </c>
      <c r="H16" t="s">
        <v>27</v>
      </c>
      <c r="I16" t="s">
        <v>19</v>
      </c>
      <c r="J16" t="s">
        <v>26</v>
      </c>
      <c r="K16" t="s">
        <v>32</v>
      </c>
      <c r="L16" t="s">
        <v>26</v>
      </c>
      <c r="M16" t="s">
        <v>22</v>
      </c>
      <c r="N16" t="s">
        <v>22</v>
      </c>
      <c r="P16" t="s">
        <v>38</v>
      </c>
    </row>
    <row r="17" spans="1:16" x14ac:dyDescent="0.35">
      <c r="A17">
        <v>16</v>
      </c>
      <c r="B17" s="1">
        <v>46092.773414351803</v>
      </c>
      <c r="C17" s="1">
        <v>46092.774490740703</v>
      </c>
      <c r="D17" t="s">
        <v>16</v>
      </c>
      <c r="F17" s="1"/>
      <c r="G17" t="s">
        <v>17</v>
      </c>
      <c r="H17" t="s">
        <v>39</v>
      </c>
      <c r="I17" t="s">
        <v>19</v>
      </c>
      <c r="J17" t="s">
        <v>26</v>
      </c>
      <c r="K17" t="s">
        <v>20</v>
      </c>
      <c r="L17" t="s">
        <v>24</v>
      </c>
      <c r="M17" t="s">
        <v>22</v>
      </c>
      <c r="N17" t="s">
        <v>21</v>
      </c>
      <c r="P17" t="s">
        <v>40</v>
      </c>
    </row>
    <row r="18" spans="1:16" x14ac:dyDescent="0.35">
      <c r="A18">
        <v>17</v>
      </c>
      <c r="B18" s="1">
        <v>46092.774872685201</v>
      </c>
      <c r="C18" s="1">
        <v>46092.775648148097</v>
      </c>
      <c r="D18" t="s">
        <v>16</v>
      </c>
      <c r="F18" s="1"/>
      <c r="G18" t="s">
        <v>17</v>
      </c>
      <c r="H18" t="s">
        <v>27</v>
      </c>
      <c r="I18" t="s">
        <v>19</v>
      </c>
      <c r="J18" t="s">
        <v>19</v>
      </c>
      <c r="K18" t="s">
        <v>20</v>
      </c>
      <c r="L18" t="s">
        <v>29</v>
      </c>
      <c r="M18" t="s">
        <v>22</v>
      </c>
      <c r="N18" t="s">
        <v>21</v>
      </c>
    </row>
    <row r="19" spans="1:16" x14ac:dyDescent="0.35">
      <c r="A19">
        <v>18</v>
      </c>
      <c r="B19" s="1">
        <v>46092.8183796296</v>
      </c>
      <c r="C19" s="1">
        <v>46092.818877314799</v>
      </c>
      <c r="D19" t="s">
        <v>16</v>
      </c>
      <c r="F19" s="1"/>
      <c r="G19" t="s">
        <v>17</v>
      </c>
      <c r="H19" t="s">
        <v>18</v>
      </c>
      <c r="I19" t="s">
        <v>30</v>
      </c>
      <c r="J19" t="s">
        <v>28</v>
      </c>
      <c r="K19" t="s">
        <v>20</v>
      </c>
      <c r="L19" t="s">
        <v>19</v>
      </c>
      <c r="M19" t="s">
        <v>22</v>
      </c>
      <c r="N19" t="s">
        <v>21</v>
      </c>
    </row>
    <row r="20" spans="1:16" x14ac:dyDescent="0.35">
      <c r="A20" s="9"/>
      <c r="B20" s="1"/>
      <c r="C20" s="1"/>
      <c r="D20" t="s">
        <v>16</v>
      </c>
      <c r="F20" s="1"/>
      <c r="G20" t="s">
        <v>17</v>
      </c>
      <c r="H20" t="s">
        <v>18</v>
      </c>
      <c r="I20" t="s">
        <v>30</v>
      </c>
      <c r="J20" t="s">
        <v>28</v>
      </c>
      <c r="K20" t="s">
        <v>20</v>
      </c>
      <c r="L20" t="s">
        <v>19</v>
      </c>
      <c r="M20" t="s">
        <v>22</v>
      </c>
      <c r="N20" t="s">
        <v>21</v>
      </c>
    </row>
    <row r="21" spans="1:16" x14ac:dyDescent="0.35">
      <c r="A21" s="9"/>
      <c r="B21" s="1"/>
      <c r="C21" s="1"/>
      <c r="D21" t="s">
        <v>16</v>
      </c>
      <c r="F21" s="1"/>
      <c r="G21" t="s">
        <v>17</v>
      </c>
      <c r="H21" t="s">
        <v>27</v>
      </c>
      <c r="I21" t="s">
        <v>30</v>
      </c>
      <c r="J21" t="s">
        <v>28</v>
      </c>
      <c r="K21" t="s">
        <v>20</v>
      </c>
      <c r="L21" t="s">
        <v>29</v>
      </c>
      <c r="M21" t="s">
        <v>22</v>
      </c>
      <c r="N21" t="s">
        <v>21</v>
      </c>
    </row>
    <row r="22" spans="1:16" x14ac:dyDescent="0.35">
      <c r="A22" s="9"/>
      <c r="B22" s="1"/>
      <c r="C22" s="1"/>
      <c r="D22" t="s">
        <v>16</v>
      </c>
      <c r="F22" s="1"/>
      <c r="G22" t="s">
        <v>17</v>
      </c>
      <c r="H22" t="s">
        <v>27</v>
      </c>
      <c r="I22" t="s">
        <v>30</v>
      </c>
      <c r="J22" t="s">
        <v>19</v>
      </c>
      <c r="K22" t="s">
        <v>20</v>
      </c>
      <c r="L22" t="s">
        <v>29</v>
      </c>
      <c r="M22" t="s">
        <v>21</v>
      </c>
      <c r="N22" t="s">
        <v>21</v>
      </c>
    </row>
    <row r="23" spans="1:16" x14ac:dyDescent="0.35">
      <c r="A23" s="9"/>
      <c r="B23" s="1"/>
      <c r="C23" s="1"/>
      <c r="D23" t="s">
        <v>16</v>
      </c>
      <c r="F23" s="1"/>
      <c r="G23" t="s">
        <v>17</v>
      </c>
      <c r="H23" t="s">
        <v>18</v>
      </c>
      <c r="I23" t="s">
        <v>19</v>
      </c>
      <c r="J23" t="s">
        <v>28</v>
      </c>
      <c r="K23" t="s">
        <v>32</v>
      </c>
      <c r="L23" t="s">
        <v>19</v>
      </c>
      <c r="M23" t="s">
        <v>21</v>
      </c>
      <c r="N23" t="s">
        <v>21</v>
      </c>
    </row>
    <row r="24" spans="1:16" x14ac:dyDescent="0.35">
      <c r="A24" s="9"/>
      <c r="B24" s="1"/>
      <c r="C24" s="1"/>
      <c r="D24" t="s">
        <v>16</v>
      </c>
      <c r="F24" s="1"/>
      <c r="G24" t="s">
        <v>17</v>
      </c>
      <c r="H24" t="s">
        <v>18</v>
      </c>
      <c r="I24" t="s">
        <v>30</v>
      </c>
      <c r="J24" t="s">
        <v>19</v>
      </c>
      <c r="K24" t="s">
        <v>36</v>
      </c>
      <c r="L24" t="s">
        <v>19</v>
      </c>
      <c r="M24" t="s">
        <v>21</v>
      </c>
      <c r="N24" t="s">
        <v>21</v>
      </c>
    </row>
    <row r="25" spans="1:16" x14ac:dyDescent="0.35">
      <c r="A25" s="9"/>
      <c r="B25" s="1"/>
      <c r="C25" s="1"/>
      <c r="D25" t="s">
        <v>16</v>
      </c>
      <c r="F25" s="1"/>
      <c r="G25" t="s">
        <v>17</v>
      </c>
      <c r="H25" t="s">
        <v>18</v>
      </c>
      <c r="I25" t="s">
        <v>30</v>
      </c>
      <c r="J25" t="s">
        <v>28</v>
      </c>
      <c r="K25" t="s">
        <v>20</v>
      </c>
      <c r="L25" t="s">
        <v>29</v>
      </c>
      <c r="M25" t="s">
        <v>21</v>
      </c>
      <c r="N25" t="s">
        <v>21</v>
      </c>
    </row>
    <row r="26" spans="1:16" x14ac:dyDescent="0.35">
      <c r="A26" s="9"/>
      <c r="B26" s="1"/>
      <c r="C26" s="1"/>
      <c r="D26" t="s">
        <v>16</v>
      </c>
      <c r="F26" s="1"/>
      <c r="G26" t="s">
        <v>17</v>
      </c>
      <c r="H26" t="s">
        <v>27</v>
      </c>
      <c r="I26" t="s">
        <v>19</v>
      </c>
      <c r="J26" t="s">
        <v>28</v>
      </c>
      <c r="K26" t="s">
        <v>20</v>
      </c>
      <c r="L26" t="s">
        <v>29</v>
      </c>
      <c r="M26" t="s">
        <v>21</v>
      </c>
      <c r="N26" t="s">
        <v>21</v>
      </c>
    </row>
    <row r="27" spans="1:16" x14ac:dyDescent="0.35">
      <c r="A27" s="9"/>
      <c r="B27" s="1"/>
      <c r="C27" s="1"/>
      <c r="D27" t="s">
        <v>16</v>
      </c>
      <c r="F27" s="1"/>
      <c r="G27" t="s">
        <v>17</v>
      </c>
      <c r="H27" t="s">
        <v>18</v>
      </c>
      <c r="I27" t="s">
        <v>30</v>
      </c>
      <c r="J27" t="s">
        <v>28</v>
      </c>
      <c r="K27" t="s">
        <v>36</v>
      </c>
      <c r="L27" t="s">
        <v>29</v>
      </c>
      <c r="M27" t="s">
        <v>21</v>
      </c>
      <c r="N27" t="s">
        <v>22</v>
      </c>
    </row>
    <row r="28" spans="1:16" x14ac:dyDescent="0.35">
      <c r="A28" s="9"/>
      <c r="B28" s="1"/>
      <c r="C28" s="1"/>
      <c r="D28" t="s">
        <v>16</v>
      </c>
      <c r="F28" s="1"/>
      <c r="G28" t="s">
        <v>17</v>
      </c>
      <c r="H28" t="s">
        <v>18</v>
      </c>
      <c r="I28" t="s">
        <v>30</v>
      </c>
      <c r="J28" t="s">
        <v>28</v>
      </c>
      <c r="K28" t="s">
        <v>20</v>
      </c>
      <c r="L28" t="s">
        <v>29</v>
      </c>
      <c r="M28" t="s">
        <v>21</v>
      </c>
      <c r="N28" t="s">
        <v>22</v>
      </c>
    </row>
    <row r="29" spans="1:16" x14ac:dyDescent="0.35">
      <c r="A29" s="9"/>
      <c r="B29" s="1"/>
      <c r="C29" s="1"/>
      <c r="D29" t="s">
        <v>16</v>
      </c>
      <c r="F29" s="1"/>
      <c r="G29" t="s">
        <v>17</v>
      </c>
      <c r="H29" t="s">
        <v>27</v>
      </c>
      <c r="I29" t="s">
        <v>30</v>
      </c>
      <c r="J29" t="s">
        <v>28</v>
      </c>
      <c r="K29" t="s">
        <v>32</v>
      </c>
      <c r="L29" t="s">
        <v>19</v>
      </c>
      <c r="M29" t="s">
        <v>21</v>
      </c>
      <c r="N29" t="s">
        <v>22</v>
      </c>
    </row>
    <row r="30" spans="1:16" x14ac:dyDescent="0.35">
      <c r="A30" s="9"/>
      <c r="B30" s="1"/>
      <c r="C30" s="1"/>
      <c r="D30" t="s">
        <v>16</v>
      </c>
      <c r="F30" s="1"/>
      <c r="G30" t="s">
        <v>17</v>
      </c>
      <c r="H30" t="s">
        <v>18</v>
      </c>
      <c r="I30" t="s">
        <v>19</v>
      </c>
      <c r="J30" t="s">
        <v>19</v>
      </c>
      <c r="K30" t="s">
        <v>20</v>
      </c>
      <c r="L30" t="s">
        <v>29</v>
      </c>
      <c r="M30" t="s">
        <v>21</v>
      </c>
      <c r="N30" t="s">
        <v>22</v>
      </c>
    </row>
    <row r="31" spans="1:16" x14ac:dyDescent="0.35">
      <c r="A31" s="9"/>
      <c r="B31" s="1"/>
      <c r="C31" s="1"/>
      <c r="D31" t="s">
        <v>16</v>
      </c>
      <c r="F31" s="1"/>
      <c r="G31" t="s">
        <v>17</v>
      </c>
      <c r="H31" t="s">
        <v>18</v>
      </c>
      <c r="I31" t="s">
        <v>30</v>
      </c>
      <c r="J31" t="s">
        <v>28</v>
      </c>
      <c r="K31" t="s">
        <v>36</v>
      </c>
      <c r="L31" t="s">
        <v>29</v>
      </c>
      <c r="M31" t="s">
        <v>21</v>
      </c>
      <c r="N31" t="s">
        <v>22</v>
      </c>
    </row>
    <row r="32" spans="1:16" x14ac:dyDescent="0.35">
      <c r="A32" s="9"/>
      <c r="B32" s="1"/>
      <c r="C32" s="1"/>
      <c r="D32" t="s">
        <v>16</v>
      </c>
      <c r="F32" s="1"/>
      <c r="G32" t="s">
        <v>17</v>
      </c>
      <c r="H32" t="s">
        <v>27</v>
      </c>
      <c r="I32" t="s">
        <v>30</v>
      </c>
      <c r="J32" t="s">
        <v>28</v>
      </c>
      <c r="K32" t="s">
        <v>20</v>
      </c>
      <c r="L32" t="s">
        <v>19</v>
      </c>
      <c r="M32" t="s">
        <v>21</v>
      </c>
      <c r="N32" t="s">
        <v>21</v>
      </c>
    </row>
    <row r="33" spans="1:16" x14ac:dyDescent="0.35">
      <c r="A33" s="9"/>
      <c r="B33" s="1"/>
      <c r="C33" s="1"/>
      <c r="D33" t="s">
        <v>16</v>
      </c>
      <c r="F33" s="1"/>
      <c r="G33" t="s">
        <v>17</v>
      </c>
      <c r="H33" t="s">
        <v>18</v>
      </c>
      <c r="I33" t="s">
        <v>30</v>
      </c>
      <c r="J33" t="s">
        <v>19</v>
      </c>
      <c r="K33" t="s">
        <v>20</v>
      </c>
      <c r="L33" t="s">
        <v>29</v>
      </c>
      <c r="M33" t="s">
        <v>21</v>
      </c>
      <c r="N33" t="s">
        <v>21</v>
      </c>
    </row>
    <row r="34" spans="1:16" x14ac:dyDescent="0.35">
      <c r="A34" s="9"/>
      <c r="B34" s="1"/>
      <c r="C34" s="1"/>
      <c r="D34" t="s">
        <v>16</v>
      </c>
      <c r="F34" s="1"/>
      <c r="G34" t="s">
        <v>17</v>
      </c>
      <c r="H34" t="s">
        <v>18</v>
      </c>
      <c r="I34" t="s">
        <v>30</v>
      </c>
      <c r="J34" t="s">
        <v>28</v>
      </c>
      <c r="K34" t="s">
        <v>20</v>
      </c>
      <c r="L34" t="s">
        <v>29</v>
      </c>
      <c r="M34" t="s">
        <v>21</v>
      </c>
      <c r="N34" t="s">
        <v>21</v>
      </c>
    </row>
    <row r="35" spans="1:16" x14ac:dyDescent="0.35">
      <c r="A35" s="9"/>
      <c r="B35" s="1"/>
      <c r="C35" s="1"/>
      <c r="D35" t="s">
        <v>16</v>
      </c>
      <c r="F35" s="1"/>
      <c r="G35" t="s">
        <v>17</v>
      </c>
      <c r="H35" t="s">
        <v>27</v>
      </c>
      <c r="I35" t="s">
        <v>30</v>
      </c>
      <c r="J35" t="s">
        <v>19</v>
      </c>
      <c r="K35" t="s">
        <v>20</v>
      </c>
      <c r="L35" t="s">
        <v>29</v>
      </c>
      <c r="M35" t="s">
        <v>21</v>
      </c>
      <c r="N35" t="s">
        <v>21</v>
      </c>
    </row>
    <row r="36" spans="1:16" x14ac:dyDescent="0.35">
      <c r="A36" s="9"/>
      <c r="B36" s="1"/>
      <c r="C36" s="1"/>
      <c r="D36" t="s">
        <v>16</v>
      </c>
      <c r="F36" s="1"/>
      <c r="G36" t="s">
        <v>17</v>
      </c>
      <c r="H36" t="s">
        <v>18</v>
      </c>
      <c r="I36" t="s">
        <v>19</v>
      </c>
      <c r="J36" t="s">
        <v>28</v>
      </c>
      <c r="K36" t="s">
        <v>36</v>
      </c>
      <c r="L36" t="s">
        <v>19</v>
      </c>
      <c r="M36" t="s">
        <v>21</v>
      </c>
      <c r="N36" t="s">
        <v>22</v>
      </c>
    </row>
    <row r="37" spans="1:16" x14ac:dyDescent="0.35">
      <c r="A37" s="9"/>
      <c r="B37" s="1"/>
      <c r="C37" s="1"/>
      <c r="D37" t="s">
        <v>16</v>
      </c>
      <c r="F37" s="1"/>
      <c r="G37" t="s">
        <v>17</v>
      </c>
      <c r="H37" t="s">
        <v>18</v>
      </c>
      <c r="I37" t="s">
        <v>30</v>
      </c>
      <c r="J37" t="s">
        <v>28</v>
      </c>
      <c r="K37" t="s">
        <v>20</v>
      </c>
      <c r="L37" t="s">
        <v>29</v>
      </c>
      <c r="M37" t="s">
        <v>21</v>
      </c>
      <c r="N37" t="s">
        <v>22</v>
      </c>
    </row>
    <row r="38" spans="1:16" x14ac:dyDescent="0.35">
      <c r="A38" s="9"/>
      <c r="B38" s="1"/>
      <c r="C38" s="1"/>
      <c r="D38" t="s">
        <v>16</v>
      </c>
      <c r="F38" s="1"/>
      <c r="G38" t="s">
        <v>17</v>
      </c>
      <c r="H38" t="s">
        <v>18</v>
      </c>
      <c r="I38" t="s">
        <v>30</v>
      </c>
      <c r="J38" t="s">
        <v>28</v>
      </c>
      <c r="K38" t="s">
        <v>32</v>
      </c>
      <c r="L38" t="s">
        <v>19</v>
      </c>
      <c r="M38" t="s">
        <v>21</v>
      </c>
      <c r="N38" t="s">
        <v>22</v>
      </c>
    </row>
    <row r="39" spans="1:16" x14ac:dyDescent="0.35">
      <c r="A39" s="9"/>
      <c r="B39" s="1"/>
      <c r="C39" s="1"/>
      <c r="D39" t="s">
        <v>16</v>
      </c>
      <c r="F39" s="1"/>
      <c r="G39" t="s">
        <v>17</v>
      </c>
      <c r="H39" t="s">
        <v>18</v>
      </c>
      <c r="I39" t="s">
        <v>30</v>
      </c>
      <c r="J39" t="s">
        <v>28</v>
      </c>
      <c r="K39" t="s">
        <v>36</v>
      </c>
      <c r="L39" t="s">
        <v>29</v>
      </c>
      <c r="M39" t="s">
        <v>21</v>
      </c>
      <c r="N39" t="s">
        <v>22</v>
      </c>
    </row>
    <row r="40" spans="1:16" x14ac:dyDescent="0.35">
      <c r="A40" s="9"/>
      <c r="B40" s="1"/>
      <c r="C40" s="1"/>
      <c r="D40" t="s">
        <v>16</v>
      </c>
      <c r="F40" s="1"/>
      <c r="G40" t="s">
        <v>17</v>
      </c>
      <c r="H40" t="s">
        <v>18</v>
      </c>
      <c r="I40" t="s">
        <v>19</v>
      </c>
      <c r="J40" t="s">
        <v>28</v>
      </c>
      <c r="K40" t="s">
        <v>36</v>
      </c>
      <c r="L40" t="s">
        <v>29</v>
      </c>
      <c r="M40" t="s">
        <v>21</v>
      </c>
      <c r="N40" t="s">
        <v>22</v>
      </c>
    </row>
    <row r="41" spans="1:16" x14ac:dyDescent="0.35">
      <c r="A41" s="9"/>
      <c r="B41" s="1"/>
      <c r="C41" s="1"/>
      <c r="D41" t="s">
        <v>16</v>
      </c>
      <c r="F41" s="1"/>
      <c r="G41" t="s">
        <v>17</v>
      </c>
      <c r="H41" t="s">
        <v>27</v>
      </c>
      <c r="I41" t="s">
        <v>30</v>
      </c>
      <c r="J41" t="s">
        <v>19</v>
      </c>
      <c r="K41" t="s">
        <v>32</v>
      </c>
      <c r="L41" t="s">
        <v>19</v>
      </c>
      <c r="M41" t="s">
        <v>21</v>
      </c>
      <c r="N41" t="s">
        <v>22</v>
      </c>
      <c r="O41" s="9"/>
      <c r="P41" s="9"/>
    </row>
    <row r="42" spans="1:16" x14ac:dyDescent="0.35">
      <c r="A42" s="9"/>
      <c r="B42" s="1"/>
      <c r="C42" s="1"/>
      <c r="D42" t="s">
        <v>16</v>
      </c>
      <c r="F42" s="1"/>
      <c r="G42" t="s">
        <v>17</v>
      </c>
      <c r="H42" t="s">
        <v>18</v>
      </c>
      <c r="I42" t="s">
        <v>30</v>
      </c>
      <c r="J42" t="s">
        <v>28</v>
      </c>
      <c r="K42" t="s">
        <v>20</v>
      </c>
      <c r="L42" t="s">
        <v>29</v>
      </c>
      <c r="M42" t="s">
        <v>21</v>
      </c>
      <c r="N42" t="s">
        <v>22</v>
      </c>
      <c r="O42" s="9"/>
      <c r="P42" s="9"/>
    </row>
    <row r="43" spans="1:16" x14ac:dyDescent="0.35">
      <c r="A43" s="9"/>
      <c r="B43" s="1"/>
      <c r="C43" s="1"/>
      <c r="D43" t="s">
        <v>16</v>
      </c>
      <c r="F43" s="1"/>
      <c r="G43" t="s">
        <v>17</v>
      </c>
      <c r="H43" t="s">
        <v>18</v>
      </c>
      <c r="I43" t="s">
        <v>30</v>
      </c>
      <c r="J43" t="s">
        <v>28</v>
      </c>
      <c r="K43" t="s">
        <v>36</v>
      </c>
      <c r="L43" t="s">
        <v>29</v>
      </c>
      <c r="M43" t="s">
        <v>21</v>
      </c>
      <c r="N43" t="s">
        <v>22</v>
      </c>
      <c r="O43" s="9"/>
      <c r="P43" s="9"/>
    </row>
    <row r="44" spans="1:16" x14ac:dyDescent="0.35">
      <c r="A44" s="9"/>
      <c r="B44" s="1"/>
      <c r="C44" s="1"/>
      <c r="D44" t="s">
        <v>16</v>
      </c>
      <c r="F44" s="1"/>
      <c r="G44" t="s">
        <v>17</v>
      </c>
      <c r="H44" t="s">
        <v>27</v>
      </c>
      <c r="I44" t="s">
        <v>30</v>
      </c>
      <c r="J44" t="s">
        <v>28</v>
      </c>
      <c r="K44" t="s">
        <v>32</v>
      </c>
      <c r="L44" t="s">
        <v>29</v>
      </c>
      <c r="M44" t="s">
        <v>21</v>
      </c>
      <c r="N44" t="s">
        <v>22</v>
      </c>
      <c r="O44" s="9"/>
      <c r="P44" s="9"/>
    </row>
    <row r="45" spans="1:16" x14ac:dyDescent="0.35">
      <c r="A45" s="9"/>
      <c r="B45" s="1"/>
      <c r="C45" s="1"/>
      <c r="D45" t="s">
        <v>16</v>
      </c>
      <c r="F45" s="1"/>
      <c r="G45" t="s">
        <v>17</v>
      </c>
      <c r="H45" t="s">
        <v>18</v>
      </c>
      <c r="I45" t="s">
        <v>19</v>
      </c>
      <c r="J45" t="s">
        <v>28</v>
      </c>
      <c r="K45" t="s">
        <v>36</v>
      </c>
      <c r="L45" t="s">
        <v>29</v>
      </c>
      <c r="M45" t="s">
        <v>21</v>
      </c>
      <c r="N45" t="s">
        <v>22</v>
      </c>
      <c r="O45" s="9"/>
      <c r="P45" s="9"/>
    </row>
    <row r="46" spans="1:16" x14ac:dyDescent="0.35">
      <c r="A46" s="9"/>
      <c r="B46" s="1"/>
      <c r="C46" s="1"/>
      <c r="D46" t="s">
        <v>16</v>
      </c>
      <c r="F46" s="1"/>
      <c r="G46" t="s">
        <v>17</v>
      </c>
      <c r="H46" t="s">
        <v>18</v>
      </c>
      <c r="I46" t="s">
        <v>30</v>
      </c>
      <c r="J46" t="s">
        <v>19</v>
      </c>
      <c r="K46" t="s">
        <v>32</v>
      </c>
      <c r="L46" t="s">
        <v>19</v>
      </c>
      <c r="M46" t="s">
        <v>21</v>
      </c>
      <c r="N46" t="s">
        <v>22</v>
      </c>
      <c r="O46" s="9"/>
      <c r="P46" s="9"/>
    </row>
    <row r="47" spans="1:16" x14ac:dyDescent="0.35">
      <c r="A47" s="9"/>
      <c r="B47" s="1"/>
      <c r="C47" s="1"/>
      <c r="D47" t="s">
        <v>16</v>
      </c>
      <c r="F47" s="1"/>
      <c r="G47" t="s">
        <v>17</v>
      </c>
      <c r="H47" t="s">
        <v>27</v>
      </c>
      <c r="I47" t="s">
        <v>30</v>
      </c>
      <c r="J47" t="s">
        <v>28</v>
      </c>
      <c r="K47" t="s">
        <v>20</v>
      </c>
      <c r="L47" t="s">
        <v>29</v>
      </c>
      <c r="M47" t="s">
        <v>21</v>
      </c>
      <c r="N47" t="s">
        <v>22</v>
      </c>
      <c r="O47" s="9"/>
      <c r="P47" s="9"/>
    </row>
    <row r="48" spans="1:16" x14ac:dyDescent="0.35">
      <c r="A48" s="9"/>
      <c r="B48" s="1"/>
      <c r="C48" s="1"/>
      <c r="D48" t="s">
        <v>16</v>
      </c>
      <c r="F48" s="1"/>
      <c r="G48" t="s">
        <v>17</v>
      </c>
      <c r="H48" t="s">
        <v>18</v>
      </c>
      <c r="I48" t="s">
        <v>19</v>
      </c>
      <c r="J48" t="s">
        <v>28</v>
      </c>
      <c r="K48" t="s">
        <v>20</v>
      </c>
      <c r="L48" t="s">
        <v>29</v>
      </c>
      <c r="M48" t="s">
        <v>22</v>
      </c>
      <c r="N48" t="s">
        <v>22</v>
      </c>
      <c r="O48" s="9"/>
      <c r="P48" s="9"/>
    </row>
    <row r="49" spans="1:16" x14ac:dyDescent="0.35">
      <c r="A49" s="9"/>
      <c r="B49" s="1"/>
      <c r="C49" s="1"/>
      <c r="D49" t="s">
        <v>16</v>
      </c>
      <c r="F49" s="1"/>
      <c r="G49" t="s">
        <v>17</v>
      </c>
      <c r="H49" t="s">
        <v>18</v>
      </c>
      <c r="I49" t="s">
        <v>30</v>
      </c>
      <c r="J49" t="s">
        <v>28</v>
      </c>
      <c r="K49" t="s">
        <v>36</v>
      </c>
      <c r="L49" t="s">
        <v>29</v>
      </c>
      <c r="M49" t="s">
        <v>21</v>
      </c>
      <c r="N49" t="s">
        <v>22</v>
      </c>
      <c r="O49" s="9"/>
      <c r="P49" s="9"/>
    </row>
    <row r="50" spans="1:16" x14ac:dyDescent="0.35">
      <c r="A50" s="9"/>
      <c r="B50" s="1"/>
      <c r="C50" s="1"/>
      <c r="D50" t="s">
        <v>16</v>
      </c>
      <c r="F50" s="1"/>
      <c r="G50" t="s">
        <v>17</v>
      </c>
      <c r="H50" t="s">
        <v>27</v>
      </c>
      <c r="I50" t="s">
        <v>30</v>
      </c>
      <c r="J50" t="s">
        <v>28</v>
      </c>
      <c r="K50" t="s">
        <v>20</v>
      </c>
      <c r="L50" t="s">
        <v>29</v>
      </c>
      <c r="M50" t="s">
        <v>22</v>
      </c>
      <c r="N50" t="s">
        <v>22</v>
      </c>
      <c r="O50" s="9"/>
      <c r="P50" s="9"/>
    </row>
    <row r="51" spans="1:16" x14ac:dyDescent="0.35">
      <c r="A51" s="9"/>
      <c r="B51" s="1"/>
      <c r="C51" s="1"/>
      <c r="D51" t="s">
        <v>16</v>
      </c>
      <c r="F51" s="1"/>
      <c r="G51" t="s">
        <v>17</v>
      </c>
      <c r="H51" t="s">
        <v>18</v>
      </c>
      <c r="I51" t="s">
        <v>19</v>
      </c>
      <c r="J51" t="s">
        <v>28</v>
      </c>
      <c r="K51" t="s">
        <v>20</v>
      </c>
      <c r="L51" t="s">
        <v>29</v>
      </c>
      <c r="M51" t="s">
        <v>22</v>
      </c>
      <c r="N51" t="s">
        <v>22</v>
      </c>
      <c r="O51" s="9"/>
      <c r="P51" s="9"/>
    </row>
    <row r="52" spans="1:16" x14ac:dyDescent="0.35">
      <c r="A52" s="9"/>
      <c r="B52" s="1"/>
      <c r="C52" s="1"/>
      <c r="D52" t="s">
        <v>16</v>
      </c>
      <c r="F52" s="1"/>
      <c r="G52" t="s">
        <v>17</v>
      </c>
      <c r="H52" t="s">
        <v>27</v>
      </c>
      <c r="I52" t="s">
        <v>30</v>
      </c>
      <c r="J52" t="s">
        <v>28</v>
      </c>
      <c r="K52" t="s">
        <v>20</v>
      </c>
      <c r="L52" t="s">
        <v>29</v>
      </c>
      <c r="M52" t="s">
        <v>22</v>
      </c>
      <c r="N52" t="s">
        <v>22</v>
      </c>
      <c r="O52" s="9"/>
      <c r="P52" s="9"/>
    </row>
    <row r="53" spans="1:16" x14ac:dyDescent="0.35">
      <c r="A53" s="9"/>
      <c r="B53" s="1"/>
      <c r="C53" s="1"/>
      <c r="D53" s="9"/>
      <c r="E53" s="9"/>
      <c r="F53" s="1"/>
      <c r="G53" s="9" t="s">
        <v>54</v>
      </c>
      <c r="H53" t="s">
        <v>27</v>
      </c>
      <c r="I53" t="s">
        <v>19</v>
      </c>
      <c r="J53" t="s">
        <v>19</v>
      </c>
      <c r="K53" t="s">
        <v>32</v>
      </c>
      <c r="L53" t="s">
        <v>19</v>
      </c>
      <c r="M53" t="s">
        <v>22</v>
      </c>
      <c r="N53" t="s">
        <v>22</v>
      </c>
      <c r="O53" s="9"/>
      <c r="P53" s="9"/>
    </row>
    <row r="54" spans="1:16" x14ac:dyDescent="0.35">
      <c r="A54" s="9"/>
      <c r="B54" s="1"/>
      <c r="C54" s="1"/>
      <c r="D54" s="9"/>
      <c r="E54" s="9"/>
      <c r="F54" s="1"/>
      <c r="G54" s="9" t="s">
        <v>54</v>
      </c>
      <c r="H54" t="s">
        <v>27</v>
      </c>
      <c r="I54" t="s">
        <v>19</v>
      </c>
      <c r="J54" t="s">
        <v>28</v>
      </c>
      <c r="K54" t="s">
        <v>32</v>
      </c>
      <c r="L54" t="s">
        <v>26</v>
      </c>
      <c r="M54" t="s">
        <v>22</v>
      </c>
      <c r="N54" t="s">
        <v>22</v>
      </c>
      <c r="O54" s="9"/>
      <c r="P54" s="9"/>
    </row>
    <row r="55" spans="1:16" x14ac:dyDescent="0.35">
      <c r="A55" s="9"/>
      <c r="B55" s="1"/>
      <c r="C55" s="1"/>
      <c r="D55" s="9"/>
      <c r="E55" s="9"/>
      <c r="F55" s="1"/>
      <c r="G55" s="9" t="s">
        <v>54</v>
      </c>
      <c r="H55" t="s">
        <v>35</v>
      </c>
      <c r="I55" t="s">
        <v>19</v>
      </c>
      <c r="J55" t="s">
        <v>24</v>
      </c>
      <c r="K55" t="s">
        <v>32</v>
      </c>
      <c r="L55" t="s">
        <v>26</v>
      </c>
      <c r="M55" t="s">
        <v>22</v>
      </c>
      <c r="N55" t="s">
        <v>22</v>
      </c>
      <c r="O55" s="9"/>
      <c r="P55" s="9"/>
    </row>
    <row r="56" spans="1:16" x14ac:dyDescent="0.35">
      <c r="A56" s="9"/>
      <c r="B56" s="1"/>
      <c r="C56" s="1"/>
      <c r="D56" s="9"/>
      <c r="E56" s="9"/>
      <c r="F56" s="1"/>
      <c r="G56" s="9" t="s">
        <v>54</v>
      </c>
      <c r="H56" t="s">
        <v>27</v>
      </c>
      <c r="I56" t="s">
        <v>19</v>
      </c>
      <c r="J56" t="s">
        <v>24</v>
      </c>
      <c r="K56" t="s">
        <v>36</v>
      </c>
      <c r="L56" t="s">
        <v>26</v>
      </c>
      <c r="M56" t="s">
        <v>22</v>
      </c>
      <c r="N56" t="s">
        <v>22</v>
      </c>
      <c r="O56" s="9"/>
      <c r="P56" s="9"/>
    </row>
    <row r="57" spans="1:16" x14ac:dyDescent="0.35">
      <c r="A57" s="9"/>
      <c r="B57" s="1"/>
      <c r="C57" s="1"/>
      <c r="D57" s="9"/>
      <c r="E57" s="9"/>
      <c r="F57" s="1"/>
      <c r="G57" s="9" t="s">
        <v>54</v>
      </c>
      <c r="H57" t="s">
        <v>27</v>
      </c>
      <c r="I57" t="s">
        <v>23</v>
      </c>
      <c r="J57" t="s">
        <v>24</v>
      </c>
      <c r="K57" t="s">
        <v>32</v>
      </c>
      <c r="L57" t="s">
        <v>26</v>
      </c>
      <c r="M57" t="s">
        <v>22</v>
      </c>
      <c r="N57" t="s">
        <v>22</v>
      </c>
      <c r="O57" s="9"/>
      <c r="P57" s="9"/>
    </row>
    <row r="58" spans="1:16" x14ac:dyDescent="0.35">
      <c r="A58" s="9"/>
      <c r="B58" s="1"/>
      <c r="C58" s="1"/>
      <c r="D58" s="9"/>
      <c r="E58" s="9"/>
      <c r="F58" s="1"/>
      <c r="G58" s="9" t="s">
        <v>54</v>
      </c>
      <c r="H58" t="s">
        <v>27</v>
      </c>
      <c r="I58" t="s">
        <v>23</v>
      </c>
      <c r="J58" t="s">
        <v>24</v>
      </c>
      <c r="K58" t="s">
        <v>32</v>
      </c>
      <c r="L58" t="s">
        <v>26</v>
      </c>
      <c r="M58" t="s">
        <v>22</v>
      </c>
      <c r="N58" t="s">
        <v>22</v>
      </c>
      <c r="O58" s="9"/>
      <c r="P58" s="9"/>
    </row>
    <row r="59" spans="1:16" x14ac:dyDescent="0.35">
      <c r="A59" s="9"/>
      <c r="B59" s="1"/>
      <c r="C59" s="1"/>
      <c r="D59" s="9"/>
      <c r="E59" s="9"/>
      <c r="F59" s="1"/>
      <c r="G59" s="9" t="s">
        <v>54</v>
      </c>
      <c r="H59" t="s">
        <v>27</v>
      </c>
      <c r="I59" t="s">
        <v>23</v>
      </c>
      <c r="J59" t="s">
        <v>24</v>
      </c>
      <c r="K59" t="s">
        <v>32</v>
      </c>
      <c r="L59" t="s">
        <v>26</v>
      </c>
      <c r="M59" t="s">
        <v>22</v>
      </c>
      <c r="N59" t="s">
        <v>22</v>
      </c>
      <c r="O59" s="9"/>
      <c r="P59" s="9"/>
    </row>
    <row r="60" spans="1:16" x14ac:dyDescent="0.35">
      <c r="A60" s="9"/>
      <c r="B60" s="1"/>
      <c r="C60" s="1"/>
      <c r="D60" s="9"/>
      <c r="E60" s="9"/>
      <c r="F60" s="1"/>
      <c r="G60" s="9" t="s">
        <v>54</v>
      </c>
      <c r="H60" t="s">
        <v>35</v>
      </c>
      <c r="I60" t="s">
        <v>23</v>
      </c>
      <c r="J60" t="s">
        <v>24</v>
      </c>
      <c r="K60" t="s">
        <v>32</v>
      </c>
      <c r="L60" t="s">
        <v>26</v>
      </c>
      <c r="M60" t="s">
        <v>22</v>
      </c>
      <c r="N60" t="s">
        <v>22</v>
      </c>
      <c r="O60" s="9"/>
      <c r="P60" s="9"/>
    </row>
    <row r="61" spans="1:16" x14ac:dyDescent="0.35">
      <c r="A61" s="9"/>
      <c r="B61" s="1"/>
      <c r="C61" s="1"/>
      <c r="D61" s="9"/>
      <c r="E61" s="9"/>
      <c r="F61" s="1"/>
      <c r="G61" s="9" t="s">
        <v>54</v>
      </c>
      <c r="H61" t="s">
        <v>27</v>
      </c>
      <c r="I61" t="s">
        <v>23</v>
      </c>
      <c r="J61" t="s">
        <v>24</v>
      </c>
      <c r="K61" t="s">
        <v>32</v>
      </c>
      <c r="L61" t="s">
        <v>26</v>
      </c>
      <c r="M61" t="s">
        <v>22</v>
      </c>
      <c r="N61" t="s">
        <v>22</v>
      </c>
      <c r="O61" s="9"/>
      <c r="P61" s="9"/>
    </row>
    <row r="62" spans="1:16" x14ac:dyDescent="0.35">
      <c r="A62" s="9"/>
      <c r="B62" s="1"/>
      <c r="C62" s="1"/>
      <c r="D62" s="9"/>
      <c r="E62" s="9"/>
      <c r="F62" s="1"/>
      <c r="G62" s="9" t="s">
        <v>54</v>
      </c>
      <c r="H62" t="s">
        <v>27</v>
      </c>
      <c r="I62" t="s">
        <v>23</v>
      </c>
      <c r="J62" t="s">
        <v>24</v>
      </c>
      <c r="K62" t="s">
        <v>32</v>
      </c>
      <c r="L62" t="s">
        <v>26</v>
      </c>
      <c r="M62" t="s">
        <v>22</v>
      </c>
      <c r="N62" t="s">
        <v>22</v>
      </c>
      <c r="O62" s="9"/>
      <c r="P62" s="9"/>
    </row>
    <row r="63" spans="1:16" x14ac:dyDescent="0.35">
      <c r="A63" s="9"/>
      <c r="B63" s="1"/>
      <c r="C63" s="1"/>
      <c r="D63" s="9"/>
      <c r="E63" s="9"/>
      <c r="F63" s="1"/>
      <c r="G63" s="9" t="s">
        <v>54</v>
      </c>
      <c r="H63" t="s">
        <v>27</v>
      </c>
      <c r="I63" t="s">
        <v>23</v>
      </c>
      <c r="J63" t="s">
        <v>24</v>
      </c>
      <c r="K63" t="s">
        <v>36</v>
      </c>
      <c r="L63" t="s">
        <v>26</v>
      </c>
      <c r="M63" t="s">
        <v>22</v>
      </c>
      <c r="N63" t="s">
        <v>22</v>
      </c>
      <c r="O63" s="9"/>
      <c r="P63" s="9"/>
    </row>
    <row r="64" spans="1:16" x14ac:dyDescent="0.35">
      <c r="A64" s="9"/>
      <c r="B64" s="1"/>
      <c r="C64" s="1"/>
      <c r="D64" s="9"/>
      <c r="E64" s="9"/>
      <c r="F64" s="1"/>
      <c r="G64" s="9" t="s">
        <v>54</v>
      </c>
      <c r="H64" t="s">
        <v>18</v>
      </c>
      <c r="I64" t="s">
        <v>23</v>
      </c>
      <c r="J64" t="s">
        <v>24</v>
      </c>
      <c r="K64" t="s">
        <v>36</v>
      </c>
      <c r="L64" t="s">
        <v>26</v>
      </c>
      <c r="M64" t="s">
        <v>22</v>
      </c>
      <c r="N64" t="s">
        <v>22</v>
      </c>
      <c r="O64" s="9"/>
      <c r="P64" s="9"/>
    </row>
    <row r="65" spans="1:16" x14ac:dyDescent="0.35">
      <c r="A65" s="9"/>
      <c r="B65" s="1"/>
      <c r="C65" s="1"/>
      <c r="D65" s="9"/>
      <c r="E65" s="9"/>
      <c r="F65" s="1"/>
      <c r="G65" s="9" t="s">
        <v>54</v>
      </c>
      <c r="H65" t="s">
        <v>18</v>
      </c>
      <c r="I65" t="s">
        <v>23</v>
      </c>
      <c r="J65" t="s">
        <v>24</v>
      </c>
      <c r="K65" t="s">
        <v>36</v>
      </c>
      <c r="L65" t="s">
        <v>19</v>
      </c>
      <c r="M65" t="s">
        <v>22</v>
      </c>
      <c r="N65" t="s">
        <v>22</v>
      </c>
      <c r="O65" s="9"/>
      <c r="P65" s="9"/>
    </row>
    <row r="66" spans="1:16" x14ac:dyDescent="0.35">
      <c r="A66" s="9"/>
      <c r="B66" s="1"/>
      <c r="C66" s="1"/>
      <c r="D66" s="9"/>
      <c r="E66" s="9"/>
      <c r="F66" s="1"/>
      <c r="G66" s="9" t="s">
        <v>55</v>
      </c>
      <c r="H66" t="s">
        <v>35</v>
      </c>
      <c r="I66" t="s">
        <v>19</v>
      </c>
      <c r="J66" t="s">
        <v>28</v>
      </c>
      <c r="K66" t="s">
        <v>20</v>
      </c>
      <c r="L66" t="s">
        <v>26</v>
      </c>
      <c r="M66" t="s">
        <v>21</v>
      </c>
      <c r="N66" t="s">
        <v>22</v>
      </c>
      <c r="O66" s="9"/>
      <c r="P66" s="9"/>
    </row>
    <row r="67" spans="1:16" x14ac:dyDescent="0.35">
      <c r="A67" s="9"/>
      <c r="B67" s="1"/>
      <c r="C67" s="1"/>
      <c r="D67" s="9"/>
      <c r="E67" s="9"/>
      <c r="F67" s="1"/>
      <c r="G67" s="9" t="s">
        <v>55</v>
      </c>
      <c r="H67" t="s">
        <v>35</v>
      </c>
      <c r="I67" t="s">
        <v>19</v>
      </c>
      <c r="J67" t="s">
        <v>28</v>
      </c>
      <c r="K67" t="s">
        <v>20</v>
      </c>
      <c r="L67" t="s">
        <v>26</v>
      </c>
      <c r="M67" t="s">
        <v>21</v>
      </c>
      <c r="N67" t="s">
        <v>22</v>
      </c>
      <c r="O67" s="9"/>
      <c r="P67" s="9"/>
    </row>
    <row r="68" spans="1:16" x14ac:dyDescent="0.35">
      <c r="A68" s="9"/>
      <c r="B68" s="1"/>
      <c r="C68" s="1"/>
      <c r="D68" s="9"/>
      <c r="E68" s="9"/>
      <c r="F68" s="1"/>
      <c r="G68" s="9" t="s">
        <v>55</v>
      </c>
      <c r="H68" t="s">
        <v>35</v>
      </c>
      <c r="I68" t="s">
        <v>30</v>
      </c>
      <c r="J68" t="s">
        <v>28</v>
      </c>
      <c r="K68" t="s">
        <v>20</v>
      </c>
      <c r="L68" t="s">
        <v>26</v>
      </c>
      <c r="M68" t="s">
        <v>21</v>
      </c>
      <c r="N68" t="s">
        <v>22</v>
      </c>
      <c r="O68" s="9"/>
      <c r="P68" s="9"/>
    </row>
    <row r="69" spans="1:16" x14ac:dyDescent="0.35">
      <c r="A69" s="9"/>
      <c r="B69" s="1"/>
      <c r="C69" s="1"/>
      <c r="D69" s="9"/>
      <c r="E69" s="9"/>
      <c r="F69" s="1"/>
      <c r="G69" s="9" t="s">
        <v>55</v>
      </c>
      <c r="H69" t="s">
        <v>35</v>
      </c>
      <c r="I69" t="s">
        <v>30</v>
      </c>
      <c r="J69" t="s">
        <v>28</v>
      </c>
      <c r="K69" t="s">
        <v>20</v>
      </c>
      <c r="L69" t="s">
        <v>19</v>
      </c>
      <c r="M69" t="s">
        <v>21</v>
      </c>
      <c r="N69" t="s">
        <v>21</v>
      </c>
      <c r="O69" s="9"/>
      <c r="P69" s="9"/>
    </row>
    <row r="70" spans="1:16" x14ac:dyDescent="0.35">
      <c r="A70" s="9"/>
      <c r="B70" s="1"/>
      <c r="C70" s="1"/>
      <c r="D70" s="9"/>
      <c r="E70" s="9"/>
      <c r="F70" s="1"/>
      <c r="G70" s="9" t="s">
        <v>55</v>
      </c>
      <c r="H70" t="s">
        <v>35</v>
      </c>
      <c r="I70" t="s">
        <v>19</v>
      </c>
      <c r="J70" t="s">
        <v>28</v>
      </c>
      <c r="K70" t="s">
        <v>20</v>
      </c>
      <c r="L70" t="s">
        <v>19</v>
      </c>
      <c r="M70" t="s">
        <v>21</v>
      </c>
      <c r="N70" t="s">
        <v>21</v>
      </c>
      <c r="O70" s="9"/>
      <c r="P70" s="9"/>
    </row>
    <row r="71" spans="1:16" x14ac:dyDescent="0.35">
      <c r="A71" s="9"/>
      <c r="B71" s="1"/>
      <c r="C71" s="1"/>
      <c r="D71" s="9"/>
      <c r="E71" s="9"/>
      <c r="F71" s="1"/>
      <c r="G71" s="9" t="s">
        <v>55</v>
      </c>
      <c r="H71" t="s">
        <v>35</v>
      </c>
      <c r="I71" t="s">
        <v>19</v>
      </c>
      <c r="J71" t="s">
        <v>28</v>
      </c>
      <c r="K71" t="s">
        <v>20</v>
      </c>
      <c r="L71" t="s">
        <v>19</v>
      </c>
      <c r="M71" t="s">
        <v>21</v>
      </c>
      <c r="N71" t="s">
        <v>21</v>
      </c>
      <c r="O71" s="9"/>
      <c r="P71" s="9"/>
    </row>
    <row r="72" spans="1:16" x14ac:dyDescent="0.35">
      <c r="A72" s="9"/>
      <c r="B72" s="1"/>
      <c r="C72" s="1"/>
      <c r="D72" s="9"/>
      <c r="E72" s="9"/>
      <c r="F72" s="1"/>
      <c r="G72" s="9" t="s">
        <v>55</v>
      </c>
      <c r="H72" t="s">
        <v>35</v>
      </c>
      <c r="I72" t="s">
        <v>19</v>
      </c>
      <c r="J72" t="s">
        <v>28</v>
      </c>
      <c r="K72" t="s">
        <v>20</v>
      </c>
      <c r="L72" t="s">
        <v>19</v>
      </c>
      <c r="M72" t="s">
        <v>21</v>
      </c>
      <c r="N72" t="s">
        <v>21</v>
      </c>
      <c r="O72" s="9"/>
      <c r="P72" s="9"/>
    </row>
    <row r="73" spans="1:16" x14ac:dyDescent="0.35">
      <c r="A73" s="9"/>
      <c r="B73" s="1"/>
      <c r="C73" s="1"/>
      <c r="D73" s="9"/>
      <c r="E73" s="9"/>
      <c r="F73" s="1"/>
      <c r="G73" s="9" t="s">
        <v>55</v>
      </c>
      <c r="H73" t="s">
        <v>35</v>
      </c>
      <c r="I73" t="s">
        <v>30</v>
      </c>
      <c r="J73" t="s">
        <v>28</v>
      </c>
      <c r="K73" t="s">
        <v>36</v>
      </c>
      <c r="L73" t="s">
        <v>28</v>
      </c>
      <c r="M73" t="s">
        <v>21</v>
      </c>
      <c r="N73" t="s">
        <v>21</v>
      </c>
      <c r="O73" s="9"/>
      <c r="P73" s="9"/>
    </row>
    <row r="74" spans="1:16" x14ac:dyDescent="0.35">
      <c r="A74" s="9"/>
      <c r="B74" s="1"/>
      <c r="C74" s="1"/>
      <c r="D74" s="9"/>
      <c r="E74" s="9"/>
      <c r="F74" s="1"/>
      <c r="G74" s="9" t="s">
        <v>55</v>
      </c>
      <c r="H74" t="s">
        <v>35</v>
      </c>
      <c r="I74" t="s">
        <v>30</v>
      </c>
      <c r="J74" t="s">
        <v>19</v>
      </c>
      <c r="K74" t="s">
        <v>36</v>
      </c>
      <c r="L74" t="s">
        <v>28</v>
      </c>
      <c r="M74" t="s">
        <v>21</v>
      </c>
      <c r="N74" t="s">
        <v>21</v>
      </c>
      <c r="O74" s="9"/>
      <c r="P74" s="9"/>
    </row>
    <row r="75" spans="1:16" x14ac:dyDescent="0.35">
      <c r="A75" s="9"/>
      <c r="B75" s="1"/>
      <c r="C75" s="1"/>
      <c r="D75" s="9"/>
      <c r="E75" s="9"/>
      <c r="F75" s="1"/>
      <c r="G75" s="9" t="s">
        <v>55</v>
      </c>
      <c r="H75" t="s">
        <v>35</v>
      </c>
      <c r="I75" t="s">
        <v>30</v>
      </c>
      <c r="J75" t="s">
        <v>19</v>
      </c>
      <c r="K75" t="s">
        <v>36</v>
      </c>
      <c r="L75" t="s">
        <v>28</v>
      </c>
      <c r="M75" t="s">
        <v>21</v>
      </c>
      <c r="N75" t="s">
        <v>21</v>
      </c>
      <c r="O75" s="9"/>
      <c r="P75" s="9"/>
    </row>
    <row r="76" spans="1:16" x14ac:dyDescent="0.35">
      <c r="A76" s="9"/>
      <c r="B76" s="1"/>
      <c r="C76" s="1"/>
      <c r="D76" s="9"/>
      <c r="E76" s="9"/>
      <c r="F76" s="1"/>
      <c r="G76" s="9" t="s">
        <v>55</v>
      </c>
      <c r="H76" t="s">
        <v>27</v>
      </c>
      <c r="I76" t="s">
        <v>30</v>
      </c>
      <c r="J76" t="s">
        <v>19</v>
      </c>
      <c r="K76" t="s">
        <v>20</v>
      </c>
      <c r="L76" t="s">
        <v>28</v>
      </c>
      <c r="M76" t="s">
        <v>21</v>
      </c>
      <c r="N76" t="s">
        <v>21</v>
      </c>
      <c r="O76" s="9"/>
      <c r="P76" s="9"/>
    </row>
    <row r="77" spans="1:16" x14ac:dyDescent="0.35">
      <c r="A77" s="9"/>
      <c r="B77" s="1"/>
      <c r="C77" s="1"/>
      <c r="D77" s="9"/>
      <c r="E77" s="9"/>
      <c r="F77" s="1"/>
      <c r="G77" s="9" t="s">
        <v>55</v>
      </c>
      <c r="H77" t="s">
        <v>27</v>
      </c>
      <c r="I77" t="s">
        <v>30</v>
      </c>
      <c r="J77" t="s">
        <v>19</v>
      </c>
      <c r="K77" t="s">
        <v>20</v>
      </c>
      <c r="L77" t="s">
        <v>28</v>
      </c>
      <c r="M77" t="s">
        <v>21</v>
      </c>
      <c r="N77" t="s">
        <v>21</v>
      </c>
      <c r="O77" s="9"/>
      <c r="P77" s="9"/>
    </row>
    <row r="78" spans="1:16" x14ac:dyDescent="0.35">
      <c r="A78" s="9"/>
      <c r="B78" s="1"/>
      <c r="C78" s="1"/>
      <c r="D78" s="9"/>
      <c r="E78" s="9"/>
      <c r="F78" s="1"/>
      <c r="G78" s="9" t="s">
        <v>55</v>
      </c>
      <c r="H78" t="s">
        <v>27</v>
      </c>
      <c r="I78" t="s">
        <v>30</v>
      </c>
      <c r="J78" t="s">
        <v>19</v>
      </c>
      <c r="K78" t="s">
        <v>36</v>
      </c>
      <c r="L78" t="s">
        <v>28</v>
      </c>
      <c r="M78" t="s">
        <v>21</v>
      </c>
      <c r="N78" t="s">
        <v>22</v>
      </c>
      <c r="O78" s="9"/>
      <c r="P78" s="9"/>
    </row>
    <row r="79" spans="1:16" x14ac:dyDescent="0.35">
      <c r="A79" s="9"/>
      <c r="B79" s="1"/>
      <c r="C79" s="1"/>
      <c r="D79" s="9"/>
      <c r="E79" s="9"/>
      <c r="F79" s="1"/>
      <c r="G79" s="9" t="s">
        <v>55</v>
      </c>
      <c r="H79" t="s">
        <v>27</v>
      </c>
      <c r="I79" t="s">
        <v>30</v>
      </c>
      <c r="J79" t="s">
        <v>19</v>
      </c>
      <c r="K79" t="s">
        <v>36</v>
      </c>
      <c r="L79" t="s">
        <v>28</v>
      </c>
      <c r="M79" t="s">
        <v>21</v>
      </c>
      <c r="N79" t="s">
        <v>22</v>
      </c>
      <c r="O79" s="9"/>
      <c r="P79" s="9"/>
    </row>
    <row r="80" spans="1:16" x14ac:dyDescent="0.35">
      <c r="A80" s="9"/>
      <c r="B80" s="1"/>
      <c r="C80" s="1"/>
      <c r="D80" s="9"/>
      <c r="E80" s="9"/>
      <c r="F80" s="1"/>
      <c r="G80" s="9" t="s">
        <v>55</v>
      </c>
      <c r="H80" t="s">
        <v>27</v>
      </c>
      <c r="I80" t="s">
        <v>19</v>
      </c>
      <c r="J80" t="s">
        <v>19</v>
      </c>
      <c r="K80" t="s">
        <v>36</v>
      </c>
      <c r="L80" t="s">
        <v>28</v>
      </c>
      <c r="M80" t="s">
        <v>21</v>
      </c>
      <c r="N80" t="s">
        <v>22</v>
      </c>
      <c r="O80" s="9"/>
      <c r="P80" s="9"/>
    </row>
    <row r="81" spans="1:16" x14ac:dyDescent="0.35">
      <c r="A81" s="9"/>
      <c r="B81" s="1"/>
      <c r="C81" s="1"/>
      <c r="D81" s="9"/>
      <c r="E81" s="9"/>
      <c r="F81" s="1"/>
      <c r="G81" s="9" t="s">
        <v>55</v>
      </c>
      <c r="H81" t="s">
        <v>27</v>
      </c>
      <c r="I81" t="s">
        <v>19</v>
      </c>
      <c r="J81" t="s">
        <v>19</v>
      </c>
      <c r="K81" t="s">
        <v>36</v>
      </c>
      <c r="L81" t="s">
        <v>28</v>
      </c>
      <c r="M81" t="s">
        <v>21</v>
      </c>
      <c r="N81" t="s">
        <v>22</v>
      </c>
      <c r="O81" s="9"/>
      <c r="P81" s="9"/>
    </row>
    <row r="82" spans="1:16" x14ac:dyDescent="0.35">
      <c r="A82" s="9"/>
      <c r="B82" s="1"/>
      <c r="C82" s="1"/>
      <c r="D82" s="9"/>
      <c r="E82" s="9"/>
      <c r="F82" s="1"/>
      <c r="G82" s="9" t="s">
        <v>55</v>
      </c>
      <c r="H82" t="s">
        <v>27</v>
      </c>
      <c r="I82" t="s">
        <v>19</v>
      </c>
      <c r="J82" t="s">
        <v>19</v>
      </c>
      <c r="K82" t="s">
        <v>36</v>
      </c>
      <c r="L82" t="s">
        <v>28</v>
      </c>
      <c r="M82" t="s">
        <v>22</v>
      </c>
      <c r="N82" t="s">
        <v>22</v>
      </c>
      <c r="O82" s="9"/>
      <c r="P82" s="9"/>
    </row>
    <row r="83" spans="1:16" x14ac:dyDescent="0.35">
      <c r="A83" s="9"/>
      <c r="B83" s="1"/>
      <c r="C83" s="1"/>
      <c r="D83" s="9"/>
      <c r="E83" s="9"/>
      <c r="F83" s="1"/>
      <c r="G83" s="9" t="s">
        <v>55</v>
      </c>
      <c r="H83" t="s">
        <v>27</v>
      </c>
      <c r="I83" t="s">
        <v>30</v>
      </c>
      <c r="J83" t="s">
        <v>19</v>
      </c>
      <c r="K83" t="s">
        <v>20</v>
      </c>
      <c r="L83" t="s">
        <v>28</v>
      </c>
      <c r="M83" t="s">
        <v>22</v>
      </c>
      <c r="N83" t="s">
        <v>22</v>
      </c>
      <c r="O83" s="9"/>
      <c r="P83" s="9"/>
    </row>
    <row r="84" spans="1:16" x14ac:dyDescent="0.35">
      <c r="A84" s="9"/>
      <c r="B84" s="1"/>
      <c r="C84" s="1"/>
      <c r="D84" s="9"/>
      <c r="E84" s="9"/>
      <c r="F84" s="1"/>
      <c r="G84" s="9" t="s">
        <v>55</v>
      </c>
      <c r="H84" t="s">
        <v>18</v>
      </c>
      <c r="I84" t="s">
        <v>30</v>
      </c>
      <c r="J84" t="s">
        <v>24</v>
      </c>
      <c r="K84" t="s">
        <v>20</v>
      </c>
      <c r="L84" t="s">
        <v>28</v>
      </c>
      <c r="M84" t="s">
        <v>22</v>
      </c>
      <c r="N84" t="s">
        <v>21</v>
      </c>
      <c r="O84" s="9"/>
      <c r="P84" s="9"/>
    </row>
    <row r="85" spans="1:16" x14ac:dyDescent="0.35">
      <c r="A85" s="9"/>
      <c r="B85" s="1"/>
      <c r="C85" s="1"/>
      <c r="D85" s="9"/>
      <c r="E85" s="9"/>
      <c r="F85" s="1"/>
      <c r="G85" s="9" t="s">
        <v>55</v>
      </c>
      <c r="H85" t="s">
        <v>18</v>
      </c>
      <c r="I85" t="s">
        <v>30</v>
      </c>
      <c r="J85" t="s">
        <v>24</v>
      </c>
      <c r="K85" t="s">
        <v>32</v>
      </c>
      <c r="L85" t="s">
        <v>28</v>
      </c>
      <c r="M85" t="s">
        <v>22</v>
      </c>
      <c r="N85" t="s">
        <v>22</v>
      </c>
      <c r="O85" s="9"/>
      <c r="P85" s="9"/>
    </row>
    <row r="86" spans="1:16" x14ac:dyDescent="0.35">
      <c r="A86" s="9"/>
      <c r="B86" s="1"/>
      <c r="C86" s="1"/>
      <c r="D86" s="9"/>
      <c r="E86" s="9"/>
      <c r="F86" s="1"/>
      <c r="G86" s="9" t="s">
        <v>55</v>
      </c>
      <c r="H86" t="s">
        <v>18</v>
      </c>
      <c r="I86" t="s">
        <v>23</v>
      </c>
      <c r="J86" t="s">
        <v>24</v>
      </c>
      <c r="K86" t="s">
        <v>32</v>
      </c>
      <c r="L86" t="s">
        <v>28</v>
      </c>
      <c r="M86" t="s">
        <v>22</v>
      </c>
      <c r="N86" t="s">
        <v>22</v>
      </c>
      <c r="O86" s="9"/>
      <c r="P86" s="9"/>
    </row>
    <row r="87" spans="1:16" x14ac:dyDescent="0.35">
      <c r="A87" s="9"/>
      <c r="B87" s="1"/>
      <c r="C87" s="1"/>
      <c r="D87" s="9"/>
      <c r="E87" s="9"/>
      <c r="F87" s="1"/>
      <c r="G87" s="9" t="s">
        <v>55</v>
      </c>
      <c r="H87" t="s">
        <v>18</v>
      </c>
      <c r="I87" t="s">
        <v>23</v>
      </c>
      <c r="J87" t="s">
        <v>19</v>
      </c>
      <c r="K87" t="s">
        <v>32</v>
      </c>
      <c r="L87" t="s">
        <v>28</v>
      </c>
      <c r="M87" t="s">
        <v>22</v>
      </c>
      <c r="N87" t="s">
        <v>22</v>
      </c>
      <c r="O87" s="9"/>
      <c r="P87" s="9"/>
    </row>
    <row r="88" spans="1:16" x14ac:dyDescent="0.35">
      <c r="A88" s="9"/>
      <c r="B88" s="1"/>
      <c r="C88" s="1"/>
      <c r="D88" s="9"/>
      <c r="E88" s="9"/>
      <c r="F88" s="1"/>
      <c r="G88" s="9" t="s">
        <v>55</v>
      </c>
      <c r="H88" t="s">
        <v>18</v>
      </c>
      <c r="I88" t="s">
        <v>23</v>
      </c>
      <c r="J88" t="s">
        <v>19</v>
      </c>
      <c r="K88" t="s">
        <v>32</v>
      </c>
      <c r="L88" t="s">
        <v>28</v>
      </c>
      <c r="M88" t="s">
        <v>22</v>
      </c>
      <c r="N88" t="s">
        <v>22</v>
      </c>
      <c r="O88" s="9"/>
      <c r="P88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ADF1-BB00-4F39-BF9D-49643343CA9A}">
  <dimension ref="B6:L30"/>
  <sheetViews>
    <sheetView tabSelected="1" zoomScale="130" zoomScaleNormal="130" workbookViewId="0">
      <selection activeCell="J24" sqref="J24"/>
    </sheetView>
  </sheetViews>
  <sheetFormatPr baseColWidth="10" defaultRowHeight="14.5" x14ac:dyDescent="0.35"/>
  <cols>
    <col min="1" max="1" width="4.7265625" style="7" customWidth="1"/>
    <col min="2" max="2" width="11.81640625" style="7" bestFit="1" customWidth="1"/>
    <col min="3" max="3" width="8.36328125" style="7" bestFit="1" customWidth="1"/>
    <col min="4" max="4" width="9.81640625" style="7" customWidth="1"/>
    <col min="5" max="5" width="5.81640625" style="7" customWidth="1"/>
    <col min="6" max="6" width="11.81640625" style="7" bestFit="1" customWidth="1"/>
    <col min="7" max="7" width="8.36328125" style="7" bestFit="1" customWidth="1"/>
    <col min="8" max="8" width="11.90625" style="7" customWidth="1"/>
    <col min="9" max="9" width="5.453125" style="7" customWidth="1"/>
    <col min="10" max="10" width="19.1796875" style="7" bestFit="1" customWidth="1"/>
    <col min="11" max="11" width="8.36328125" style="7" bestFit="1" customWidth="1"/>
    <col min="12" max="12" width="10.90625" style="7"/>
    <col min="13" max="13" width="5.453125" style="7" customWidth="1"/>
    <col min="14" max="14" width="19.1796875" style="7" bestFit="1" customWidth="1"/>
    <col min="15" max="15" width="8.36328125" style="7" customWidth="1"/>
    <col min="16" max="16384" width="10.90625" style="7"/>
  </cols>
  <sheetData>
    <row r="6" spans="2:12" x14ac:dyDescent="0.35">
      <c r="B6" s="8" t="s">
        <v>45</v>
      </c>
      <c r="C6" s="8"/>
      <c r="D6" s="8"/>
      <c r="F6" s="8" t="s">
        <v>46</v>
      </c>
      <c r="G6" s="8"/>
      <c r="H6" s="8"/>
      <c r="J6" s="8" t="s">
        <v>47</v>
      </c>
      <c r="K6" s="8"/>
      <c r="L6" s="8"/>
    </row>
    <row r="7" spans="2:12" x14ac:dyDescent="0.35">
      <c r="B7" s="3" t="s">
        <v>44</v>
      </c>
      <c r="C7" s="4" t="s">
        <v>43</v>
      </c>
      <c r="D7" s="2" t="s">
        <v>42</v>
      </c>
      <c r="F7" s="3" t="s">
        <v>44</v>
      </c>
      <c r="G7" s="4" t="s">
        <v>43</v>
      </c>
      <c r="H7" s="2" t="s">
        <v>42</v>
      </c>
      <c r="J7" s="3" t="s">
        <v>44</v>
      </c>
      <c r="K7" s="4" t="s">
        <v>43</v>
      </c>
      <c r="L7" s="2" t="s">
        <v>42</v>
      </c>
    </row>
    <row r="8" spans="2:12" x14ac:dyDescent="0.35">
      <c r="B8" s="4" t="s">
        <v>35</v>
      </c>
      <c r="C8" s="10">
        <v>13</v>
      </c>
      <c r="D8" s="5">
        <f>GETPIVOTDATA("Universidad",$B$7,"¿Con qué frecuencia utiliza la biblioteca de la Universidad?","Frecuentemente")/GETPIVOTDATA("Universidad",$B$7)</f>
        <v>0.14942528735632185</v>
      </c>
      <c r="F8" s="4" t="s">
        <v>19</v>
      </c>
      <c r="G8" s="10">
        <v>32</v>
      </c>
      <c r="H8" s="5">
        <f>GETPIVOTDATA("Universidad",$F$7,"Califique el tiempo que tarda el proceso de préstamo del material bibliográfico.","Aceptable")/GETPIVOTDATA("Universidad",$F$7)</f>
        <v>0.36781609195402298</v>
      </c>
      <c r="J8" s="4" t="s">
        <v>20</v>
      </c>
      <c r="K8" s="10">
        <v>38</v>
      </c>
      <c r="L8" s="5">
        <f>GETPIVOTDATA("Universidad",$J$7,"¿Qué tan fácil le resulta encontrar el material bibliográfico que necesita en la biblioteca?","Difícil")/GETPIVOTDATA("Universidad",$J$7)</f>
        <v>0.43678160919540232</v>
      </c>
    </row>
    <row r="9" spans="2:12" x14ac:dyDescent="0.35">
      <c r="B9" s="4" t="s">
        <v>39</v>
      </c>
      <c r="C9" s="10">
        <v>1</v>
      </c>
      <c r="D9" s="5">
        <f>GETPIVOTDATA("Universidad",$B$7,"¿Con qué frecuencia utiliza la biblioteca de la Universidad?","Nunca")/GETPIVOTDATA("Universidad",$B$7)</f>
        <v>1.1494252873563218E-2</v>
      </c>
      <c r="F9" s="4" t="s">
        <v>30</v>
      </c>
      <c r="G9" s="10">
        <v>39</v>
      </c>
      <c r="H9" s="5">
        <f>GETPIVOTDATA("Universidad",$F$7,"Califique el tiempo que tarda el proceso de préstamo del material bibliográfico.","Muy lento")/GETPIVOTDATA("Universidad",$F$7)</f>
        <v>0.44827586206896552</v>
      </c>
      <c r="J9" s="4" t="s">
        <v>32</v>
      </c>
      <c r="K9" s="10">
        <v>22</v>
      </c>
      <c r="L9" s="5">
        <f>GETPIVOTDATA("Universidad",$J$7,"¿Qué tan fácil le resulta encontrar el material bibliográfico que necesita en la biblioteca?","Fácil")/GETPIVOTDATA("Universidad",$J$7)</f>
        <v>0.25287356321839083</v>
      </c>
    </row>
    <row r="10" spans="2:12" x14ac:dyDescent="0.35">
      <c r="B10" s="4" t="s">
        <v>27</v>
      </c>
      <c r="C10" s="10">
        <v>35</v>
      </c>
      <c r="D10" s="5">
        <f>GETPIVOTDATA("Universidad",$B$7,"¿Con qué frecuencia utiliza la biblioteca de la Universidad?","Ocasionalmente")/GETPIVOTDATA("Universidad",$B$7)</f>
        <v>0.40229885057471265</v>
      </c>
      <c r="F10" s="4" t="s">
        <v>23</v>
      </c>
      <c r="G10" s="10">
        <v>13</v>
      </c>
      <c r="H10" s="5">
        <f>GETPIVOTDATA("Universidad",$F$7,"Califique el tiempo que tarda el proceso de préstamo del material bibliográfico.","Muy rápido")/GETPIVOTDATA("Universidad",$F$7)</f>
        <v>0.14942528735632185</v>
      </c>
      <c r="J10" s="4" t="s">
        <v>25</v>
      </c>
      <c r="K10" s="10">
        <v>4</v>
      </c>
      <c r="L10" s="5">
        <f>GETPIVOTDATA("Universidad",$J$7,"¿Qué tan fácil le resulta encontrar el material bibliográfico que necesita en la biblioteca?","Muy fácil")/GETPIVOTDATA("Universidad",$J$7)</f>
        <v>4.5977011494252873E-2</v>
      </c>
    </row>
    <row r="11" spans="2:12" x14ac:dyDescent="0.35">
      <c r="B11" s="4" t="s">
        <v>18</v>
      </c>
      <c r="C11" s="10">
        <v>38</v>
      </c>
      <c r="D11" s="5">
        <f>GETPIVOTDATA("Universidad",$B$7,"¿Con qué frecuencia utiliza la biblioteca de la Universidad?","Rara vez")/GETPIVOTDATA("Universidad",$B$7)</f>
        <v>0.43678160919540232</v>
      </c>
      <c r="F11" s="4" t="s">
        <v>31</v>
      </c>
      <c r="G11" s="10">
        <v>3</v>
      </c>
      <c r="H11" s="5">
        <f>GETPIVOTDATA("Universidad",$F$7,"Califique el tiempo que tarda el proceso de préstamo del material bibliográfico.","Rápido")/GETPIVOTDATA("Universidad",$F$7)</f>
        <v>3.4482758620689655E-2</v>
      </c>
      <c r="J11" s="4" t="s">
        <v>48</v>
      </c>
      <c r="K11" s="10">
        <v>23</v>
      </c>
      <c r="L11" s="5">
        <f>GETPIVOTDATA("Universidad",$J$7,"¿Qué tan fácil le resulta encontrar el material bibliográfico que necesita en la biblioteca?","Neutral")/GETPIVOTDATA("Universidad",$J$7)</f>
        <v>0.26436781609195403</v>
      </c>
    </row>
    <row r="12" spans="2:12" x14ac:dyDescent="0.35">
      <c r="B12" s="4" t="s">
        <v>41</v>
      </c>
      <c r="C12" s="10">
        <v>87</v>
      </c>
      <c r="D12" s="6">
        <f>SUM(D8:D11)</f>
        <v>1</v>
      </c>
      <c r="F12" s="4" t="s">
        <v>41</v>
      </c>
      <c r="G12" s="10">
        <v>87</v>
      </c>
      <c r="H12" s="6">
        <f>SUM(H8:H11)</f>
        <v>1</v>
      </c>
      <c r="J12" s="4" t="s">
        <v>41</v>
      </c>
      <c r="K12" s="10">
        <v>87</v>
      </c>
      <c r="L12" s="6">
        <f>SUM(L8:L11)</f>
        <v>1</v>
      </c>
    </row>
    <row r="13" spans="2:12" x14ac:dyDescent="0.35">
      <c r="B13"/>
      <c r="C13"/>
      <c r="F13"/>
      <c r="G13"/>
      <c r="J13"/>
      <c r="K13"/>
    </row>
    <row r="15" spans="2:12" x14ac:dyDescent="0.35">
      <c r="B15" s="8" t="s">
        <v>50</v>
      </c>
      <c r="C15" s="8"/>
      <c r="D15" s="8"/>
      <c r="F15" s="8" t="s">
        <v>53</v>
      </c>
      <c r="G15" s="8"/>
      <c r="H15" s="8"/>
      <c r="J15" s="8" t="s">
        <v>52</v>
      </c>
      <c r="K15" s="8"/>
      <c r="L15" s="8"/>
    </row>
    <row r="16" spans="2:12" x14ac:dyDescent="0.35">
      <c r="B16" s="3" t="s">
        <v>44</v>
      </c>
      <c r="C16" s="4" t="s">
        <v>43</v>
      </c>
      <c r="D16" s="2" t="s">
        <v>42</v>
      </c>
      <c r="F16" s="3" t="s">
        <v>44</v>
      </c>
      <c r="G16" s="4" t="s">
        <v>43</v>
      </c>
      <c r="H16" s="2" t="s">
        <v>42</v>
      </c>
      <c r="J16" s="3" t="s">
        <v>44</v>
      </c>
      <c r="K16" s="4" t="s">
        <v>43</v>
      </c>
      <c r="L16" s="2" t="s">
        <v>42</v>
      </c>
    </row>
    <row r="17" spans="2:12" x14ac:dyDescent="0.35">
      <c r="B17" s="4" t="s">
        <v>19</v>
      </c>
      <c r="C17" s="10">
        <v>24</v>
      </c>
      <c r="D17" s="5">
        <f>GETPIVOTDATA("Universidad",$B$16,"Califique qué tan ágil y eficiente considera el proceso de devolución de los libros.","Aceptable")/GETPIVOTDATA("Universidad",$B$16)</f>
        <v>0.27586206896551724</v>
      </c>
      <c r="F17" s="4" t="s">
        <v>19</v>
      </c>
      <c r="G17" s="10">
        <v>20</v>
      </c>
      <c r="H17" s="5">
        <f>GETPIVOTDATA("Universidad",$F$16,"¿Cómo califica el funcionamiento del sistema actual de gestión de la biblioteca?","Aceptable")/GETPIVOTDATA("Universidad",$F$16)</f>
        <v>0.22988505747126436</v>
      </c>
      <c r="J17" s="4" t="s">
        <v>22</v>
      </c>
      <c r="K17" s="10">
        <v>62</v>
      </c>
      <c r="L17" s="5">
        <f>GETPIVOTDATA("Universidad",$J$16,"¿Ha tenido alguna dificultad al momento de prestar o devolver material bibliográfico?","No")/GETPIVOTDATA("Universidad",$J$16)</f>
        <v>0.71264367816091956</v>
      </c>
    </row>
    <row r="18" spans="2:12" x14ac:dyDescent="0.35">
      <c r="B18" s="4" t="s">
        <v>26</v>
      </c>
      <c r="C18" s="10">
        <v>9</v>
      </c>
      <c r="D18" s="5">
        <f>GETPIVOTDATA("Universidad",$B$16,"Califique qué tan ágil y eficiente considera el proceso de devolución de los libros.","Bueno")/GETPIVOTDATA("Universidad",$B$16)</f>
        <v>0.10344827586206896</v>
      </c>
      <c r="F18" s="4" t="s">
        <v>26</v>
      </c>
      <c r="G18" s="10">
        <v>20</v>
      </c>
      <c r="H18" s="5">
        <f>GETPIVOTDATA("Universidad",$F$16,"¿Cómo califica el funcionamiento del sistema actual de gestión de la biblioteca?","Bueno")/GETPIVOTDATA("Universidad",$F$16)</f>
        <v>0.22988505747126436</v>
      </c>
      <c r="J18" s="4" t="s">
        <v>21</v>
      </c>
      <c r="K18" s="10">
        <v>25</v>
      </c>
      <c r="L18" s="5">
        <f>GETPIVOTDATA("Universidad",$J$16,"¿Ha tenido alguna dificultad al momento de prestar o devolver material bibliográfico?","Si")/GETPIVOTDATA("Universidad",$J$16)</f>
        <v>0.28735632183908044</v>
      </c>
    </row>
    <row r="19" spans="2:12" x14ac:dyDescent="0.35">
      <c r="B19" s="4" t="s">
        <v>28</v>
      </c>
      <c r="C19" s="10">
        <v>38</v>
      </c>
      <c r="D19" s="5">
        <f>GETPIVOTDATA("Universidad",$B$16,"Califique qué tan ágil y eficiente considera el proceso de devolución de los libros.","Deficiente")/GETPIVOTDATA("Universidad",$B$16)</f>
        <v>0.43678160919540232</v>
      </c>
      <c r="F19" s="4" t="s">
        <v>28</v>
      </c>
      <c r="G19" s="10">
        <v>20</v>
      </c>
      <c r="H19" s="5">
        <f>GETPIVOTDATA("Universidad",$F$16,"¿Cómo califica el funcionamiento del sistema actual de gestión de la biblioteca?","Deficiente")/GETPIVOTDATA("Universidad",$F$16)</f>
        <v>0.22988505747126436</v>
      </c>
      <c r="J19" s="4" t="s">
        <v>41</v>
      </c>
      <c r="K19" s="10">
        <v>87</v>
      </c>
      <c r="L19" s="6">
        <f>SUM(L17:L18)</f>
        <v>1</v>
      </c>
    </row>
    <row r="20" spans="2:12" x14ac:dyDescent="0.35">
      <c r="B20" s="4" t="s">
        <v>24</v>
      </c>
      <c r="C20" s="10">
        <v>15</v>
      </c>
      <c r="D20" s="5">
        <f>GETPIVOTDATA("Universidad",$B$16,"Califique qué tan ágil y eficiente considera el proceso de devolución de los libros.","Excelente")/GETPIVOTDATA("Universidad",$B$16)</f>
        <v>0.17241379310344829</v>
      </c>
      <c r="F20" s="4" t="s">
        <v>24</v>
      </c>
      <c r="G20" s="10">
        <v>2</v>
      </c>
      <c r="H20" s="5">
        <f>GETPIVOTDATA("Universidad",$F$16,"¿Cómo califica el funcionamiento del sistema actual de gestión de la biblioteca?","Excelente")/GETPIVOTDATA("Universidad",$F$16)</f>
        <v>2.2988505747126436E-2</v>
      </c>
      <c r="J20"/>
      <c r="K20"/>
    </row>
    <row r="21" spans="2:12" x14ac:dyDescent="0.35">
      <c r="B21" s="4" t="s">
        <v>29</v>
      </c>
      <c r="C21" s="10">
        <v>1</v>
      </c>
      <c r="D21" s="5">
        <f>GETPIVOTDATA("Universidad",$B$16,"Califique qué tan ágil y eficiente considera el proceso de devolución de los libros.","Muy deficiente")/GETPIVOTDATA("Universidad",$B$16)</f>
        <v>1.1494252873563218E-2</v>
      </c>
      <c r="F21" s="4" t="s">
        <v>29</v>
      </c>
      <c r="G21" s="10">
        <v>25</v>
      </c>
      <c r="H21" s="5">
        <f>GETPIVOTDATA("Universidad",$F$16,"¿Cómo califica el funcionamiento del sistema actual de gestión de la biblioteca?","Muy deficiente")/GETPIVOTDATA("Universidad",$F$16)</f>
        <v>0.28735632183908044</v>
      </c>
    </row>
    <row r="22" spans="2:12" x14ac:dyDescent="0.35">
      <c r="B22" s="4" t="s">
        <v>41</v>
      </c>
      <c r="C22" s="10">
        <v>87</v>
      </c>
      <c r="D22" s="6">
        <f>SUM(D17:D21)</f>
        <v>1</v>
      </c>
      <c r="F22" s="4" t="s">
        <v>41</v>
      </c>
      <c r="G22" s="10">
        <v>87</v>
      </c>
      <c r="H22" s="6">
        <f>SUM(H17:H21)</f>
        <v>1</v>
      </c>
      <c r="J22" s="8" t="s">
        <v>51</v>
      </c>
      <c r="K22" s="8"/>
      <c r="L22" s="8"/>
    </row>
    <row r="23" spans="2:12" x14ac:dyDescent="0.35">
      <c r="B23"/>
      <c r="C23"/>
      <c r="F23"/>
      <c r="G23"/>
      <c r="J23" s="3" t="s">
        <v>44</v>
      </c>
      <c r="K23" s="4" t="s">
        <v>43</v>
      </c>
      <c r="L23" s="2" t="s">
        <v>42</v>
      </c>
    </row>
    <row r="24" spans="2:12" x14ac:dyDescent="0.35">
      <c r="J24" s="4" t="s">
        <v>34</v>
      </c>
      <c r="K24" s="10">
        <v>1</v>
      </c>
      <c r="L24" s="5">
        <f>GETPIVOTDATA("Universidad",$J$23,"¿Cuál ha sido la principal dificultad?","Demora en el proceso")/GETPIVOTDATA("Universidad",$J$23)</f>
        <v>1.1494252873563218E-2</v>
      </c>
    </row>
    <row r="25" spans="2:12" x14ac:dyDescent="0.35">
      <c r="B25" s="8" t="s">
        <v>51</v>
      </c>
      <c r="C25" s="8"/>
      <c r="D25" s="8"/>
      <c r="J25" s="4" t="s">
        <v>49</v>
      </c>
      <c r="K25" s="10">
        <v>86</v>
      </c>
      <c r="L25" s="5">
        <f>GETPIVOTDATA("Universidad",$J$23,"¿Cuál ha sido la principal dificultad?",)/GETPIVOTDATA("Universidad",$J$23)</f>
        <v>0.9885057471264368</v>
      </c>
    </row>
    <row r="26" spans="2:12" x14ac:dyDescent="0.35">
      <c r="B26" s="3" t="s">
        <v>44</v>
      </c>
      <c r="C26" s="4" t="s">
        <v>43</v>
      </c>
      <c r="D26" s="2" t="s">
        <v>42</v>
      </c>
      <c r="J26" s="4" t="s">
        <v>41</v>
      </c>
      <c r="K26" s="10">
        <v>87</v>
      </c>
      <c r="L26" s="6">
        <f>SUM(L24:L25)</f>
        <v>1</v>
      </c>
    </row>
    <row r="27" spans="2:12" x14ac:dyDescent="0.35">
      <c r="B27" s="4" t="s">
        <v>22</v>
      </c>
      <c r="C27" s="10">
        <v>36</v>
      </c>
      <c r="D27" s="5">
        <f>GETPIVOTDATA("Universidad",$B$26,"¿Considera necesario mejorar o cambiar el sistema actual de gestión de la biblioteca?","No")/GETPIVOTDATA("Universidad",$B$26)</f>
        <v>0.41379310344827586</v>
      </c>
    </row>
    <row r="28" spans="2:12" x14ac:dyDescent="0.35">
      <c r="B28" s="4" t="s">
        <v>21</v>
      </c>
      <c r="C28" s="10">
        <v>51</v>
      </c>
      <c r="D28" s="5">
        <f>GETPIVOTDATA("Universidad",$B$26,"¿Considera necesario mejorar o cambiar el sistema actual de gestión de la biblioteca?","Si")/GETPIVOTDATA("Universidad",$B$26)</f>
        <v>0.58620689655172409</v>
      </c>
    </row>
    <row r="29" spans="2:12" x14ac:dyDescent="0.35">
      <c r="B29" s="4" t="s">
        <v>41</v>
      </c>
      <c r="C29" s="10">
        <v>87</v>
      </c>
      <c r="D29" s="6">
        <f>SUM(D27:D28)</f>
        <v>1</v>
      </c>
    </row>
    <row r="30" spans="2:12" x14ac:dyDescent="0.35">
      <c r="B30"/>
      <c r="C30"/>
    </row>
  </sheetData>
  <mergeCells count="8">
    <mergeCell ref="B25:D25"/>
    <mergeCell ref="J15:L15"/>
    <mergeCell ref="J22:L22"/>
    <mergeCell ref="F15:H15"/>
    <mergeCell ref="B6:D6"/>
    <mergeCell ref="F6:H6"/>
    <mergeCell ref="J6:L6"/>
    <mergeCell ref="B15:D15"/>
  </mergeCells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JULIÁN  CIFUENTES VÁSQUEZ</cp:lastModifiedBy>
  <dcterms:created xsi:type="dcterms:W3CDTF">2026-03-12T01:16:54Z</dcterms:created>
  <dcterms:modified xsi:type="dcterms:W3CDTF">2026-04-13T05:45:04Z</dcterms:modified>
</cp:coreProperties>
</file>
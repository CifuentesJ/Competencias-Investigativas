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ulia_4m9iwa1\Desktop\Julián\IUSH\Investigación\Encuestas\"/>
    </mc:Choice>
  </mc:AlternateContent>
  <xr:revisionPtr revIDLastSave="0" documentId="13_ncr:1_{FAFECD41-7B3B-4B48-835A-24448EBD6146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BD" sheetId="1" r:id="rId1"/>
    <sheet name="Dashboard" sheetId="2" r:id="rId2"/>
  </sheets>
  <definedNames>
    <definedName name="SegmentaciónDeDatos_Universidad">#N/A</definedName>
  </definedNames>
  <calcPr calcId="191029"/>
  <pivotCaches>
    <pivotCache cacheId="12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2" l="1"/>
  <c r="H20" i="2"/>
  <c r="H19" i="2"/>
  <c r="H18" i="2"/>
  <c r="H17" i="2"/>
  <c r="L25" i="2"/>
  <c r="L24" i="2"/>
  <c r="L26" i="2" l="1"/>
  <c r="H22" i="2"/>
  <c r="L18" i="2"/>
  <c r="L17" i="2"/>
  <c r="D28" i="2"/>
  <c r="D27" i="2"/>
  <c r="D21" i="2"/>
  <c r="D20" i="2"/>
  <c r="D19" i="2"/>
  <c r="D18" i="2"/>
  <c r="D17" i="2"/>
  <c r="L11" i="2"/>
  <c r="L10" i="2"/>
  <c r="L9" i="2"/>
  <c r="L8" i="2"/>
  <c r="H11" i="2"/>
  <c r="H10" i="2"/>
  <c r="H9" i="2"/>
  <c r="H8" i="2"/>
  <c r="D11" i="2"/>
  <c r="D10" i="2"/>
  <c r="D9" i="2"/>
  <c r="D8" i="2"/>
  <c r="L19" i="2" l="1"/>
  <c r="D29" i="2"/>
  <c r="D22" i="2"/>
  <c r="L12" i="2"/>
  <c r="H12" i="2"/>
  <c r="D12" i="2"/>
</calcChain>
</file>

<file path=xl/sharedStrings.xml><?xml version="1.0" encoding="utf-8"?>
<sst xmlns="http://schemas.openxmlformats.org/spreadsheetml/2006/main" count="250" uniqueCount="55">
  <si>
    <t>ID</t>
  </si>
  <si>
    <t>Hora de inicio</t>
  </si>
  <si>
    <t>Hora de finalización</t>
  </si>
  <si>
    <t>Correo electrónico</t>
  </si>
  <si>
    <t>Nombre</t>
  </si>
  <si>
    <t>Hora de la última modificación</t>
  </si>
  <si>
    <t>Universidad</t>
  </si>
  <si>
    <t>¿Con qué frecuencia utiliza la biblioteca de la Universidad?</t>
  </si>
  <si>
    <t>Califique el tiempo que tarda el proceso de préstamo del material bibliográfico.</t>
  </si>
  <si>
    <t>Califique qué tan ágil y eficiente considera el proceso de devolución de los libros.</t>
  </si>
  <si>
    <t>¿Qué tan fácil le resulta encontrar el material bibliográfico que necesita en la biblioteca?</t>
  </si>
  <si>
    <t>¿Cómo califica el funcionamiento del sistema actual de gestión de la biblioteca?</t>
  </si>
  <si>
    <t>¿Considera necesario mejorar o cambiar el sistema actual de gestión de la biblioteca?</t>
  </si>
  <si>
    <t>¿Ha tenido alguna dificultad al momento de prestar o devolver material bibliográfico?</t>
  </si>
  <si>
    <t>¿Cuál ha sido la principal dificultad?</t>
  </si>
  <si>
    <t>Comentarios adicionales</t>
  </si>
  <si>
    <t>anonymous</t>
  </si>
  <si>
    <t>IUSH</t>
  </si>
  <si>
    <t>Rara vez</t>
  </si>
  <si>
    <t>Aceptable</t>
  </si>
  <si>
    <t>Difícil</t>
  </si>
  <si>
    <t>Si</t>
  </si>
  <si>
    <t>No</t>
  </si>
  <si>
    <t>Muy rápido</t>
  </si>
  <si>
    <t>Excelente</t>
  </si>
  <si>
    <t>Muy fácil</t>
  </si>
  <si>
    <t>Bueno</t>
  </si>
  <si>
    <t>Ocasionalmente</t>
  </si>
  <si>
    <t>Deficiente</t>
  </si>
  <si>
    <t>Muy deficiente</t>
  </si>
  <si>
    <t>Muy lento</t>
  </si>
  <si>
    <t>UPB</t>
  </si>
  <si>
    <t>Rápido</t>
  </si>
  <si>
    <t>Fácil</t>
  </si>
  <si>
    <t>ITM</t>
  </si>
  <si>
    <t>Demora en el proceso</t>
  </si>
  <si>
    <t>Frecuentemente</t>
  </si>
  <si>
    <t>Neutal</t>
  </si>
  <si>
    <t>tiempos de atención un pcoo lentos</t>
  </si>
  <si>
    <t>n/a</t>
  </si>
  <si>
    <t>Nunca</t>
  </si>
  <si>
    <t>ninguno</t>
  </si>
  <si>
    <t>Total general</t>
  </si>
  <si>
    <t>Porcentaje</t>
  </si>
  <si>
    <t>Cantidad</t>
  </si>
  <si>
    <t/>
  </si>
  <si>
    <t>Frecuencia de uso de la biblioteca</t>
  </si>
  <si>
    <t>Tiempo de préstamo</t>
  </si>
  <si>
    <t>Facilidad encontrar material</t>
  </si>
  <si>
    <t>Neutral</t>
  </si>
  <si>
    <t>(en blanco)</t>
  </si>
  <si>
    <t>Agilidad en proceso de devolución</t>
  </si>
  <si>
    <t>Mejorar el sistema actual de la biblio</t>
  </si>
  <si>
    <t>Dificultad en la gestión bibliotecaria</t>
  </si>
  <si>
    <t>Funcionamiento actual de biblio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</si>
</sst>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5" formatCode="m/d/yy\ h:mm:ss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65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0" fillId="3" borderId="0" xfId="0" applyFill="1"/>
  </cellXfs>
  <cellStyles count="2">
    <cellStyle name="Normal" xfId="0" builtinId="0"/>
    <cellStyle name="Porcentaje" xfId="1" builtinId="5"/>
  </cellStyles>
  <dxfs count="4270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\ h:mm:ss"/>
    </dxf>
    <dxf>
      <numFmt numFmtId="0" formatCode="General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</dxfs>
  <tableStyles count="1" defaultTableStyle="TableStyleMedium2" defaultPivotStyle="PivotStyleLight16">
    <tableStyle name="Invisible" pivot="0" table="0" count="0" xr9:uid="{C7915ADC-08E3-4C10-B6F5-4512522E27F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271097</xdr:colOff>
      <xdr:row>0</xdr:row>
      <xdr:rowOff>124558</xdr:rowOff>
    </xdr:from>
    <xdr:to>
      <xdr:col>11</xdr:col>
      <xdr:colOff>417634</xdr:colOff>
      <xdr:row>4</xdr:row>
      <xdr:rowOff>36635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35E6018E-1373-3372-F608-EF7C2BF67594}"/>
            </a:ext>
          </a:extLst>
        </xdr:cNvPr>
        <xdr:cNvSpPr/>
      </xdr:nvSpPr>
      <xdr:spPr>
        <a:xfrm>
          <a:off x="608135" y="124558"/>
          <a:ext cx="7927730" cy="644769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O" sz="1600" b="0" i="0">
              <a:solidFill>
                <a:sysClr val="windowText" lastClr="000000"/>
              </a:solidFill>
            </a:rPr>
            <a:t>DASHBOARD DE RECOLECCIÓN DE INFORMACIÓN</a:t>
          </a:r>
        </a:p>
      </xdr:txBody>
    </xdr:sp>
    <xdr:clientData/>
  </xdr:twoCellAnchor>
  <xdr:twoCellAnchor editAs="oneCell">
    <xdr:from>
      <xdr:col>13</xdr:col>
      <xdr:colOff>67407</xdr:colOff>
      <xdr:row>10</xdr:row>
      <xdr:rowOff>12212</xdr:rowOff>
    </xdr:from>
    <xdr:to>
      <xdr:col>14</xdr:col>
      <xdr:colOff>545856</xdr:colOff>
      <xdr:row>16</xdr:row>
      <xdr:rowOff>172672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Universidad">
              <a:extLst>
                <a:ext uri="{FF2B5EF4-FFF2-40B4-BE49-F238E27FC236}">
                  <a16:creationId xmlns:a16="http://schemas.microsoft.com/office/drawing/2014/main" id="{D7D059ED-22CD-76AA-E0CE-A93F76CB7A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versida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85444" y="1840768"/>
              <a:ext cx="1819275" cy="12626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án Cifuentes Vásquez" refreshedDate="46092.847631365737" createdVersion="8" refreshedVersion="8" minRefreshableVersion="3" recordCount="18" xr:uid="{CE33489F-F2CD-4D9F-AE87-0BE2F780591F}">
  <cacheSource type="worksheet">
    <worksheetSource name="Table1"/>
  </cacheSource>
  <cacheFields count="16">
    <cacheField name="ID" numFmtId="0">
      <sharedItems containsSemiMixedTypes="0" containsString="0" containsNumber="1" containsInteger="1" minValue="1" maxValue="18"/>
    </cacheField>
    <cacheField name="Hora de inicio" numFmtId="165">
      <sharedItems containsSemiMixedTypes="0" containsNonDate="0" containsDate="1" containsString="0" minDate="2026-03-11T17:55:34" maxDate="2026-03-11T19:38:28"/>
    </cacheField>
    <cacheField name="Hora de finalización" numFmtId="165">
      <sharedItems containsSemiMixedTypes="0" containsNonDate="0" containsDate="1" containsString="0" minDate="2026-03-11T18:02:39" maxDate="2026-03-11T19:39:11"/>
    </cacheField>
    <cacheField name="Correo electrónico" numFmtId="0">
      <sharedItems/>
    </cacheField>
    <cacheField name="Nombre" numFmtId="0">
      <sharedItems containsNonDate="0" containsString="0" containsBlank="1"/>
    </cacheField>
    <cacheField name="Hora de la última modificación" numFmtId="165">
      <sharedItems containsNonDate="0" containsString="0" containsBlank="1"/>
    </cacheField>
    <cacheField name="Universidad" numFmtId="0">
      <sharedItems count="3">
        <s v="IUSH"/>
        <s v="UPB"/>
        <s v="ITM"/>
      </sharedItems>
    </cacheField>
    <cacheField name="¿Con qué frecuencia utiliza la biblioteca de la Universidad?" numFmtId="0">
      <sharedItems count="4">
        <s v="Rara vez"/>
        <s v="Ocasionalmente"/>
        <s v="Frecuentemente"/>
        <s v="Nunca"/>
      </sharedItems>
    </cacheField>
    <cacheField name="Califique el tiempo que tarda el proceso de préstamo del material bibliográfico." numFmtId="0">
      <sharedItems count="4">
        <s v="Aceptable"/>
        <s v="Muy rápido"/>
        <s v="Muy lento"/>
        <s v="Rápido"/>
      </sharedItems>
    </cacheField>
    <cacheField name="Califique qué tan ágil y eficiente considera el proceso de devolución de los libros." numFmtId="0">
      <sharedItems count="5">
        <s v="Aceptable"/>
        <s v="Excelente"/>
        <s v="Bueno"/>
        <s v="Muy deficiente"/>
        <s v="Deficiente"/>
      </sharedItems>
    </cacheField>
    <cacheField name="¿Qué tan fácil le resulta encontrar el material bibliográfico que necesita en la biblioteca?" numFmtId="0">
      <sharedItems count="4">
        <s v="Difícil"/>
        <s v="Muy fácil"/>
        <s v="Fácil"/>
        <s v="Neutal"/>
      </sharedItems>
    </cacheField>
    <cacheField name="¿Cómo califica el funcionamiento del sistema actual de gestión de la biblioteca?" numFmtId="0">
      <sharedItems count="5">
        <s v="Aceptable"/>
        <s v="Bueno"/>
        <s v="Deficiente"/>
        <s v="Excelente"/>
        <s v="Muy deficiente"/>
      </sharedItems>
    </cacheField>
    <cacheField name="¿Considera necesario mejorar o cambiar el sistema actual de gestión de la biblioteca?" numFmtId="0">
      <sharedItems count="2">
        <s v="Si"/>
        <s v="No"/>
      </sharedItems>
    </cacheField>
    <cacheField name="¿Ha tenido alguna dificultad al momento de prestar o devolver material bibliográfico?" numFmtId="0">
      <sharedItems count="2">
        <s v="No"/>
        <s v="Si"/>
      </sharedItems>
    </cacheField>
    <cacheField name="¿Cuál ha sido la principal dificultad?" numFmtId="0">
      <sharedItems containsBlank="1" count="2">
        <m/>
        <s v="Demora en el proceso"/>
      </sharedItems>
    </cacheField>
    <cacheField name="Comentarios adicionales" numFmtId="0">
      <sharedItems containsBlank="1" count="4">
        <m/>
        <s v="tiempos de atención un pcoo lentos"/>
        <s v="n/a"/>
        <s v="ninguno"/>
      </sharedItems>
    </cacheField>
  </cacheFields>
  <extLst>
    <ext xmlns:x14="http://schemas.microsoft.com/office/spreadsheetml/2009/9/main" uri="{725AE2AE-9491-48be-B2B4-4EB974FC3084}">
      <x14:pivotCacheDefinition pivotCacheId="67274875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n v="1"/>
    <d v="2026-03-11T17:55:34"/>
    <d v="2026-03-11T18:02:39"/>
    <s v="anonymous"/>
    <m/>
    <m/>
    <x v="0"/>
    <x v="0"/>
    <x v="0"/>
    <x v="0"/>
    <x v="0"/>
    <x v="0"/>
    <x v="0"/>
    <x v="0"/>
    <x v="0"/>
    <x v="0"/>
  </r>
  <r>
    <n v="2"/>
    <d v="2026-03-11T18:07:41"/>
    <d v="2026-03-11T18:09:02"/>
    <s v="anonymous"/>
    <m/>
    <m/>
    <x v="0"/>
    <x v="0"/>
    <x v="1"/>
    <x v="1"/>
    <x v="1"/>
    <x v="1"/>
    <x v="0"/>
    <x v="0"/>
    <x v="0"/>
    <x v="0"/>
  </r>
  <r>
    <n v="3"/>
    <d v="2026-03-11T18:09:15"/>
    <d v="2026-03-11T18:09:50"/>
    <s v="anonymous"/>
    <m/>
    <m/>
    <x v="0"/>
    <x v="1"/>
    <x v="0"/>
    <x v="2"/>
    <x v="0"/>
    <x v="2"/>
    <x v="0"/>
    <x v="0"/>
    <x v="0"/>
    <x v="0"/>
  </r>
  <r>
    <n v="4"/>
    <d v="2026-03-11T18:09:57"/>
    <d v="2026-03-11T18:16:19"/>
    <s v="anonymous"/>
    <m/>
    <m/>
    <x v="0"/>
    <x v="1"/>
    <x v="0"/>
    <x v="3"/>
    <x v="0"/>
    <x v="2"/>
    <x v="0"/>
    <x v="0"/>
    <x v="0"/>
    <x v="0"/>
  </r>
  <r>
    <n v="5"/>
    <d v="2026-03-11T18:16:22"/>
    <d v="2026-03-11T18:18:18"/>
    <s v="anonymous"/>
    <m/>
    <m/>
    <x v="0"/>
    <x v="0"/>
    <x v="2"/>
    <x v="2"/>
    <x v="1"/>
    <x v="0"/>
    <x v="1"/>
    <x v="0"/>
    <x v="0"/>
    <x v="0"/>
  </r>
  <r>
    <n v="6"/>
    <d v="2026-03-11T18:18:35"/>
    <d v="2026-03-11T18:19:39"/>
    <s v="anonymous"/>
    <m/>
    <m/>
    <x v="0"/>
    <x v="0"/>
    <x v="0"/>
    <x v="0"/>
    <x v="1"/>
    <x v="2"/>
    <x v="0"/>
    <x v="0"/>
    <x v="0"/>
    <x v="0"/>
  </r>
  <r>
    <n v="7"/>
    <d v="2026-03-11T18:19:19"/>
    <d v="2026-03-11T18:20:09"/>
    <s v="anonymous"/>
    <m/>
    <m/>
    <x v="1"/>
    <x v="1"/>
    <x v="3"/>
    <x v="2"/>
    <x v="1"/>
    <x v="3"/>
    <x v="1"/>
    <x v="0"/>
    <x v="0"/>
    <x v="0"/>
  </r>
  <r>
    <n v="8"/>
    <d v="2026-03-11T18:19:42"/>
    <d v="2026-03-11T18:20:56"/>
    <s v="anonymous"/>
    <m/>
    <m/>
    <x v="0"/>
    <x v="0"/>
    <x v="0"/>
    <x v="4"/>
    <x v="2"/>
    <x v="0"/>
    <x v="0"/>
    <x v="0"/>
    <x v="0"/>
    <x v="0"/>
  </r>
  <r>
    <n v="9"/>
    <d v="2026-03-11T18:23:15"/>
    <d v="2026-03-11T18:23:48"/>
    <s v="anonymous"/>
    <m/>
    <m/>
    <x v="2"/>
    <x v="1"/>
    <x v="0"/>
    <x v="4"/>
    <x v="0"/>
    <x v="0"/>
    <x v="0"/>
    <x v="1"/>
    <x v="1"/>
    <x v="0"/>
  </r>
  <r>
    <n v="10"/>
    <d v="2026-03-11T18:23:18"/>
    <d v="2026-03-11T18:24:34"/>
    <s v="anonymous"/>
    <m/>
    <m/>
    <x v="0"/>
    <x v="2"/>
    <x v="3"/>
    <x v="2"/>
    <x v="2"/>
    <x v="1"/>
    <x v="1"/>
    <x v="0"/>
    <x v="0"/>
    <x v="0"/>
  </r>
  <r>
    <n v="11"/>
    <d v="2026-03-11T18:24:41"/>
    <d v="2026-03-11T18:26:09"/>
    <s v="anonymous"/>
    <m/>
    <m/>
    <x v="0"/>
    <x v="0"/>
    <x v="0"/>
    <x v="2"/>
    <x v="3"/>
    <x v="2"/>
    <x v="1"/>
    <x v="0"/>
    <x v="0"/>
    <x v="0"/>
  </r>
  <r>
    <n v="12"/>
    <d v="2026-03-11T18:26:16"/>
    <d v="2026-03-11T18:27:42"/>
    <s v="anonymous"/>
    <m/>
    <m/>
    <x v="0"/>
    <x v="1"/>
    <x v="3"/>
    <x v="2"/>
    <x v="2"/>
    <x v="1"/>
    <x v="1"/>
    <x v="0"/>
    <x v="0"/>
    <x v="0"/>
  </r>
  <r>
    <n v="13"/>
    <d v="2026-03-11T18:28:57"/>
    <d v="2026-03-11T18:30:48"/>
    <s v="anonymous"/>
    <m/>
    <m/>
    <x v="0"/>
    <x v="0"/>
    <x v="0"/>
    <x v="2"/>
    <x v="2"/>
    <x v="1"/>
    <x v="1"/>
    <x v="0"/>
    <x v="0"/>
    <x v="0"/>
  </r>
  <r>
    <n v="14"/>
    <d v="2026-03-11T18:31:05"/>
    <d v="2026-03-11T18:32:26"/>
    <s v="anonymous"/>
    <m/>
    <m/>
    <x v="0"/>
    <x v="0"/>
    <x v="0"/>
    <x v="0"/>
    <x v="3"/>
    <x v="1"/>
    <x v="0"/>
    <x v="0"/>
    <x v="0"/>
    <x v="1"/>
  </r>
  <r>
    <n v="15"/>
    <d v="2026-03-11T18:32:34"/>
    <d v="2026-03-11T18:33:28"/>
    <s v="anonymous"/>
    <m/>
    <m/>
    <x v="0"/>
    <x v="1"/>
    <x v="0"/>
    <x v="2"/>
    <x v="2"/>
    <x v="1"/>
    <x v="1"/>
    <x v="0"/>
    <x v="0"/>
    <x v="2"/>
  </r>
  <r>
    <n v="16"/>
    <d v="2026-03-11T18:33:43"/>
    <d v="2026-03-11T18:35:16"/>
    <s v="anonymous"/>
    <m/>
    <m/>
    <x v="0"/>
    <x v="3"/>
    <x v="0"/>
    <x v="2"/>
    <x v="2"/>
    <x v="3"/>
    <x v="1"/>
    <x v="0"/>
    <x v="0"/>
    <x v="3"/>
  </r>
  <r>
    <n v="17"/>
    <d v="2026-03-11T18:35:49"/>
    <d v="2026-03-11T18:36:56"/>
    <s v="anonymous"/>
    <m/>
    <m/>
    <x v="0"/>
    <x v="1"/>
    <x v="0"/>
    <x v="0"/>
    <x v="3"/>
    <x v="4"/>
    <x v="1"/>
    <x v="0"/>
    <x v="0"/>
    <x v="0"/>
  </r>
  <r>
    <n v="18"/>
    <d v="2026-03-11T19:38:28"/>
    <d v="2026-03-11T19:39:11"/>
    <s v="anonymous"/>
    <m/>
    <m/>
    <x v="0"/>
    <x v="0"/>
    <x v="1"/>
    <x v="1"/>
    <x v="3"/>
    <x v="0"/>
    <x v="1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7AF005-30AD-4765-A2AA-FBC5B64F549E}" name="TablaDinámica9" cacheId="12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rowHeaderCaption="">
  <location ref="F16:G22" firstHeaderRow="1" firstDataRow="1" firstDataCol="1"/>
  <pivotFields count="16">
    <pivotField showAll="0"/>
    <pivotField numFmtId="165" showAll="0"/>
    <pivotField numFmtId="165" showAll="0"/>
    <pivotField showAll="0"/>
    <pivotField showAll="0"/>
    <pivotField showAll="0"/>
    <pivotField dataField="1" showAll="0">
      <items count="4">
        <item x="2"/>
        <item x="0"/>
        <item x="1"/>
        <item t="default"/>
      </items>
    </pivotField>
    <pivotField showAll="0">
      <items count="5">
        <item x="2"/>
        <item x="3"/>
        <item x="1"/>
        <item x="0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/>
    <pivotField showAll="0"/>
    <pivotField axis="axisRow">
      <items count="6">
        <item x="0"/>
        <item x="1"/>
        <item x="2"/>
        <item x="3"/>
        <item x="4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antidad" fld="6" subtotal="count" baseField="7" baseItem="0"/>
  </dataFields>
  <formats count="15">
    <format dxfId="4131">
      <pivotArea type="all" dataOnly="0" outline="0" fieldPosition="0"/>
    </format>
    <format dxfId="4132">
      <pivotArea outline="0" collapsedLevelsAreSubtotals="1" fieldPosition="0"/>
    </format>
    <format dxfId="4133">
      <pivotArea field="7" type="button" dataOnly="0" labelOnly="1" outline="0"/>
    </format>
    <format dxfId="4134">
      <pivotArea dataOnly="0" labelOnly="1" grandRow="1" outline="0" fieldPosition="0"/>
    </format>
    <format dxfId="4135">
      <pivotArea dataOnly="0" labelOnly="1" outline="0" axis="axisValues" fieldPosition="0"/>
    </format>
    <format dxfId="4136">
      <pivotArea type="all" dataOnly="0" outline="0" fieldPosition="0"/>
    </format>
    <format dxfId="4137">
      <pivotArea outline="0" collapsedLevelsAreSubtotals="1" fieldPosition="0"/>
    </format>
    <format dxfId="4138">
      <pivotArea field="7" type="button" dataOnly="0" labelOnly="1" outline="0"/>
    </format>
    <format dxfId="4139">
      <pivotArea dataOnly="0" labelOnly="1" grandRow="1" outline="0" fieldPosition="0"/>
    </format>
    <format dxfId="4140">
      <pivotArea dataOnly="0" labelOnly="1" outline="0" axis="axisValues" fieldPosition="0"/>
    </format>
    <format dxfId="4141">
      <pivotArea type="all" dataOnly="0" outline="0" fieldPosition="0"/>
    </format>
    <format dxfId="4142">
      <pivotArea outline="0" collapsedLevelsAreSubtotals="1" fieldPosition="0"/>
    </format>
    <format dxfId="4143">
      <pivotArea field="7" type="button" dataOnly="0" labelOnly="1" outline="0"/>
    </format>
    <format dxfId="4144">
      <pivotArea dataOnly="0" labelOnly="1" grandRow="1" outline="0" fieldPosition="0"/>
    </format>
    <format dxfId="414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B0361-7D56-4A97-901C-CB37111860B6}" name="TablaDinámica8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">
  <location ref="J23:K26" firstHeaderRow="1" firstDataRow="1" firstDataCol="1"/>
  <pivotFields count="16">
    <pivotField showAll="0"/>
    <pivotField numFmtId="165" showAll="0"/>
    <pivotField numFmtId="165" showAll="0"/>
    <pivotField showAll="0"/>
    <pivotField showAll="0"/>
    <pivotField showAll="0"/>
    <pivotField dataField="1" showAll="0">
      <items count="4">
        <item x="2"/>
        <item x="0"/>
        <item x="1"/>
        <item t="default"/>
      </items>
    </pivotField>
    <pivotField showAll="0">
      <items count="5">
        <item x="2"/>
        <item x="3"/>
        <item x="1"/>
        <item x="0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axis="axisRow">
      <items count="3">
        <item x="1"/>
        <item x="0"/>
        <item t="default"/>
      </items>
    </pivotField>
    <pivotField showAll="0"/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Cantidad" fld="6" subtotal="count" baseField="7" baseItem="0"/>
  </dataFields>
  <formats count="15">
    <format dxfId="4146">
      <pivotArea type="all" dataOnly="0" outline="0" fieldPosition="0"/>
    </format>
    <format dxfId="4147">
      <pivotArea outline="0" collapsedLevelsAreSubtotals="1" fieldPosition="0"/>
    </format>
    <format dxfId="4148">
      <pivotArea field="7" type="button" dataOnly="0" labelOnly="1" outline="0"/>
    </format>
    <format dxfId="4149">
      <pivotArea dataOnly="0" labelOnly="1" grandRow="1" outline="0" fieldPosition="0"/>
    </format>
    <format dxfId="4150">
      <pivotArea dataOnly="0" labelOnly="1" outline="0" axis="axisValues" fieldPosition="0"/>
    </format>
    <format dxfId="4151">
      <pivotArea type="all" dataOnly="0" outline="0" fieldPosition="0"/>
    </format>
    <format dxfId="4152">
      <pivotArea outline="0" collapsedLevelsAreSubtotals="1" fieldPosition="0"/>
    </format>
    <format dxfId="4153">
      <pivotArea field="7" type="button" dataOnly="0" labelOnly="1" outline="0"/>
    </format>
    <format dxfId="4154">
      <pivotArea dataOnly="0" labelOnly="1" grandRow="1" outline="0" fieldPosition="0"/>
    </format>
    <format dxfId="4155">
      <pivotArea dataOnly="0" labelOnly="1" outline="0" axis="axisValues" fieldPosition="0"/>
    </format>
    <format dxfId="4156">
      <pivotArea type="all" dataOnly="0" outline="0" fieldPosition="0"/>
    </format>
    <format dxfId="4157">
      <pivotArea outline="0" collapsedLevelsAreSubtotals="1" fieldPosition="0"/>
    </format>
    <format dxfId="4158">
      <pivotArea field="7" type="button" dataOnly="0" labelOnly="1" outline="0"/>
    </format>
    <format dxfId="4159">
      <pivotArea dataOnly="0" labelOnly="1" grandRow="1" outline="0" fieldPosition="0"/>
    </format>
    <format dxfId="416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985251-AF7E-43CB-9E79-13EF15A047A3}" name="TablaDinámica7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">
  <location ref="J16:K19" firstHeaderRow="1" firstDataRow="1" firstDataCol="1"/>
  <pivotFields count="16">
    <pivotField showAll="0"/>
    <pivotField numFmtId="165" showAll="0"/>
    <pivotField numFmtId="165" showAll="0"/>
    <pivotField showAll="0"/>
    <pivotField showAll="0"/>
    <pivotField showAll="0"/>
    <pivotField dataField="1" showAll="0">
      <items count="4">
        <item x="2"/>
        <item x="0"/>
        <item x="1"/>
        <item t="default"/>
      </items>
    </pivotField>
    <pivotField showAll="0">
      <items count="5">
        <item x="2"/>
        <item x="3"/>
        <item x="1"/>
        <item x="0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axis="axisRow">
      <items count="3">
        <item x="0"/>
        <item x="1"/>
        <item t="default"/>
      </items>
    </pivotField>
    <pivotField showAll="0"/>
    <pivotField showAll="0"/>
  </pivotFields>
  <rowFields count="1">
    <field x="13"/>
  </rowFields>
  <rowItems count="3">
    <i>
      <x/>
    </i>
    <i>
      <x v="1"/>
    </i>
    <i t="grand">
      <x/>
    </i>
  </rowItems>
  <colItems count="1">
    <i/>
  </colItems>
  <dataFields count="1">
    <dataField name="Cantidad" fld="6" subtotal="count" baseField="7" baseItem="0"/>
  </dataFields>
  <formats count="15">
    <format dxfId="4161">
      <pivotArea type="all" dataOnly="0" outline="0" fieldPosition="0"/>
    </format>
    <format dxfId="4162">
      <pivotArea outline="0" collapsedLevelsAreSubtotals="1" fieldPosition="0"/>
    </format>
    <format dxfId="4163">
      <pivotArea field="7" type="button" dataOnly="0" labelOnly="1" outline="0"/>
    </format>
    <format dxfId="4164">
      <pivotArea dataOnly="0" labelOnly="1" grandRow="1" outline="0" fieldPosition="0"/>
    </format>
    <format dxfId="4165">
      <pivotArea dataOnly="0" labelOnly="1" outline="0" axis="axisValues" fieldPosition="0"/>
    </format>
    <format dxfId="4166">
      <pivotArea type="all" dataOnly="0" outline="0" fieldPosition="0"/>
    </format>
    <format dxfId="4167">
      <pivotArea outline="0" collapsedLevelsAreSubtotals="1" fieldPosition="0"/>
    </format>
    <format dxfId="4168">
      <pivotArea field="7" type="button" dataOnly="0" labelOnly="1" outline="0"/>
    </format>
    <format dxfId="4169">
      <pivotArea dataOnly="0" labelOnly="1" grandRow="1" outline="0" fieldPosition="0"/>
    </format>
    <format dxfId="4170">
      <pivotArea dataOnly="0" labelOnly="1" outline="0" axis="axisValues" fieldPosition="0"/>
    </format>
    <format dxfId="4171">
      <pivotArea type="all" dataOnly="0" outline="0" fieldPosition="0"/>
    </format>
    <format dxfId="4172">
      <pivotArea outline="0" collapsedLevelsAreSubtotals="1" fieldPosition="0"/>
    </format>
    <format dxfId="4173">
      <pivotArea field="7" type="button" dataOnly="0" labelOnly="1" outline="0"/>
    </format>
    <format dxfId="4174">
      <pivotArea dataOnly="0" labelOnly="1" grandRow="1" outline="0" fieldPosition="0"/>
    </format>
    <format dxfId="417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54F074-02E2-44D3-A62E-AA415E8442F2}" name="TablaDinámica6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">
  <location ref="B26:C29" firstHeaderRow="1" firstDataRow="1" firstDataCol="1"/>
  <pivotFields count="16">
    <pivotField showAll="0"/>
    <pivotField numFmtId="165" showAll="0"/>
    <pivotField numFmtId="165" showAll="0"/>
    <pivotField showAll="0"/>
    <pivotField showAll="0"/>
    <pivotField showAll="0"/>
    <pivotField dataField="1" showAll="0">
      <items count="4">
        <item x="2"/>
        <item x="0"/>
        <item x="1"/>
        <item t="default"/>
      </items>
    </pivotField>
    <pivotField showAll="0">
      <items count="5">
        <item x="2"/>
        <item x="3"/>
        <item x="1"/>
        <item x="0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axis="axisRow">
      <items count="3">
        <item x="1"/>
        <item x="0"/>
        <item t="default"/>
      </items>
    </pivotField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Cantidad" fld="6" subtotal="count" baseField="7" baseItem="0"/>
  </dataFields>
  <formats count="15">
    <format dxfId="4176">
      <pivotArea type="all" dataOnly="0" outline="0" fieldPosition="0"/>
    </format>
    <format dxfId="4177">
      <pivotArea outline="0" collapsedLevelsAreSubtotals="1" fieldPosition="0"/>
    </format>
    <format dxfId="4178">
      <pivotArea field="7" type="button" dataOnly="0" labelOnly="1" outline="0"/>
    </format>
    <format dxfId="4179">
      <pivotArea dataOnly="0" labelOnly="1" grandRow="1" outline="0" fieldPosition="0"/>
    </format>
    <format dxfId="4180">
      <pivotArea dataOnly="0" labelOnly="1" outline="0" axis="axisValues" fieldPosition="0"/>
    </format>
    <format dxfId="4181">
      <pivotArea type="all" dataOnly="0" outline="0" fieldPosition="0"/>
    </format>
    <format dxfId="4182">
      <pivotArea outline="0" collapsedLevelsAreSubtotals="1" fieldPosition="0"/>
    </format>
    <format dxfId="4183">
      <pivotArea field="7" type="button" dataOnly="0" labelOnly="1" outline="0"/>
    </format>
    <format dxfId="4184">
      <pivotArea dataOnly="0" labelOnly="1" grandRow="1" outline="0" fieldPosition="0"/>
    </format>
    <format dxfId="4185">
      <pivotArea dataOnly="0" labelOnly="1" outline="0" axis="axisValues" fieldPosition="0"/>
    </format>
    <format dxfId="4186">
      <pivotArea type="all" dataOnly="0" outline="0" fieldPosition="0"/>
    </format>
    <format dxfId="4187">
      <pivotArea outline="0" collapsedLevelsAreSubtotals="1" fieldPosition="0"/>
    </format>
    <format dxfId="4188">
      <pivotArea field="7" type="button" dataOnly="0" labelOnly="1" outline="0"/>
    </format>
    <format dxfId="4189">
      <pivotArea dataOnly="0" labelOnly="1" grandRow="1" outline="0" fieldPosition="0"/>
    </format>
    <format dxfId="419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F357E4-998D-4D54-94A0-0FB1207FF63B}" name="TablaDinámica5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">
  <location ref="B16:C22" firstHeaderRow="1" firstDataRow="1" firstDataCol="1"/>
  <pivotFields count="16">
    <pivotField showAll="0"/>
    <pivotField numFmtId="165" showAll="0"/>
    <pivotField numFmtId="165" showAll="0"/>
    <pivotField showAll="0"/>
    <pivotField showAll="0"/>
    <pivotField showAll="0"/>
    <pivotField dataField="1" showAll="0">
      <items count="4">
        <item x="2"/>
        <item x="0"/>
        <item x="1"/>
        <item t="default"/>
      </items>
    </pivotField>
    <pivotField showAll="0">
      <items count="5">
        <item x="2"/>
        <item x="3"/>
        <item x="1"/>
        <item x="0"/>
        <item t="default"/>
      </items>
    </pivotField>
    <pivotField showAll="0"/>
    <pivotField axis="axisRow">
      <items count="6">
        <item x="0"/>
        <item x="2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antidad" fld="6" subtotal="count" baseField="7" baseItem="0"/>
  </dataFields>
  <formats count="15">
    <format dxfId="4191">
      <pivotArea type="all" dataOnly="0" outline="0" fieldPosition="0"/>
    </format>
    <format dxfId="4192">
      <pivotArea outline="0" collapsedLevelsAreSubtotals="1" fieldPosition="0"/>
    </format>
    <format dxfId="4193">
      <pivotArea field="7" type="button" dataOnly="0" labelOnly="1" outline="0"/>
    </format>
    <format dxfId="4194">
      <pivotArea dataOnly="0" labelOnly="1" grandRow="1" outline="0" fieldPosition="0"/>
    </format>
    <format dxfId="4195">
      <pivotArea dataOnly="0" labelOnly="1" outline="0" axis="axisValues" fieldPosition="0"/>
    </format>
    <format dxfId="4196">
      <pivotArea type="all" dataOnly="0" outline="0" fieldPosition="0"/>
    </format>
    <format dxfId="4197">
      <pivotArea outline="0" collapsedLevelsAreSubtotals="1" fieldPosition="0"/>
    </format>
    <format dxfId="4198">
      <pivotArea field="7" type="button" dataOnly="0" labelOnly="1" outline="0"/>
    </format>
    <format dxfId="4199">
      <pivotArea dataOnly="0" labelOnly="1" grandRow="1" outline="0" fieldPosition="0"/>
    </format>
    <format dxfId="4200">
      <pivotArea dataOnly="0" labelOnly="1" outline="0" axis="axisValues" fieldPosition="0"/>
    </format>
    <format dxfId="4201">
      <pivotArea type="all" dataOnly="0" outline="0" fieldPosition="0"/>
    </format>
    <format dxfId="4202">
      <pivotArea outline="0" collapsedLevelsAreSubtotals="1" fieldPosition="0"/>
    </format>
    <format dxfId="4203">
      <pivotArea field="7" type="button" dataOnly="0" labelOnly="1" outline="0"/>
    </format>
    <format dxfId="4204">
      <pivotArea dataOnly="0" labelOnly="1" grandRow="1" outline="0" fieldPosition="0"/>
    </format>
    <format dxfId="420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02F630-EFB5-484C-8F36-98904E161BDD}" name="TablaDinámica3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">
  <location ref="J7:K12" firstHeaderRow="1" firstDataRow="1" firstDataCol="1"/>
  <pivotFields count="16">
    <pivotField showAll="0"/>
    <pivotField numFmtId="165" showAll="0"/>
    <pivotField numFmtId="165" showAll="0"/>
    <pivotField showAll="0"/>
    <pivotField showAll="0"/>
    <pivotField showAll="0"/>
    <pivotField dataField="1" showAll="0">
      <items count="4">
        <item x="2"/>
        <item x="0"/>
        <item x="1"/>
        <item t="default"/>
      </items>
    </pivotField>
    <pivotField showAll="0">
      <items count="5">
        <item x="2"/>
        <item x="3"/>
        <item x="1"/>
        <item x="0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0"/>
        <item x="2"/>
        <item x="4"/>
        <item x="1"/>
        <item x="3"/>
        <item t="default"/>
      </items>
    </pivotField>
    <pivotField axis="axisRow">
      <items count="5">
        <item x="0"/>
        <item x="2"/>
        <item x="1"/>
        <item n="Neutral" x="3"/>
        <item t="default"/>
      </items>
    </pivotField>
    <pivotField showAll="0"/>
    <pivotField showAll="0"/>
    <pivotField showAll="0"/>
    <pivotField showAll="0"/>
    <pivotField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antidad" fld="6" subtotal="count" baseField="7" baseItem="0"/>
  </dataFields>
  <formats count="15">
    <format dxfId="4206">
      <pivotArea type="all" dataOnly="0" outline="0" fieldPosition="0"/>
    </format>
    <format dxfId="4207">
      <pivotArea outline="0" collapsedLevelsAreSubtotals="1" fieldPosition="0"/>
    </format>
    <format dxfId="4208">
      <pivotArea field="7" type="button" dataOnly="0" labelOnly="1" outline="0"/>
    </format>
    <format dxfId="4209">
      <pivotArea dataOnly="0" labelOnly="1" grandRow="1" outline="0" fieldPosition="0"/>
    </format>
    <format dxfId="4210">
      <pivotArea dataOnly="0" labelOnly="1" outline="0" axis="axisValues" fieldPosition="0"/>
    </format>
    <format dxfId="4211">
      <pivotArea type="all" dataOnly="0" outline="0" fieldPosition="0"/>
    </format>
    <format dxfId="4212">
      <pivotArea outline="0" collapsedLevelsAreSubtotals="1" fieldPosition="0"/>
    </format>
    <format dxfId="4213">
      <pivotArea field="7" type="button" dataOnly="0" labelOnly="1" outline="0"/>
    </format>
    <format dxfId="4214">
      <pivotArea dataOnly="0" labelOnly="1" grandRow="1" outline="0" fieldPosition="0"/>
    </format>
    <format dxfId="4215">
      <pivotArea dataOnly="0" labelOnly="1" outline="0" axis="axisValues" fieldPosition="0"/>
    </format>
    <format dxfId="4216">
      <pivotArea type="all" dataOnly="0" outline="0" fieldPosition="0"/>
    </format>
    <format dxfId="4217">
      <pivotArea outline="0" collapsedLevelsAreSubtotals="1" fieldPosition="0"/>
    </format>
    <format dxfId="4218">
      <pivotArea field="7" type="button" dataOnly="0" labelOnly="1" outline="0"/>
    </format>
    <format dxfId="4219">
      <pivotArea dataOnly="0" labelOnly="1" grandRow="1" outline="0" fieldPosition="0"/>
    </format>
    <format dxfId="42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EAD2B9-D0C5-409A-A31B-9E7BEE730C7F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">
  <location ref="F7:G12" firstHeaderRow="1" firstDataRow="1" firstDataCol="1"/>
  <pivotFields count="16">
    <pivotField showAll="0"/>
    <pivotField numFmtId="165" showAll="0"/>
    <pivotField numFmtId="165" showAll="0"/>
    <pivotField showAll="0"/>
    <pivotField showAll="0"/>
    <pivotField showAll="0"/>
    <pivotField dataField="1" showAll="0">
      <items count="4">
        <item x="2"/>
        <item x="0"/>
        <item x="1"/>
        <item t="default"/>
      </items>
    </pivotField>
    <pivotField showAll="0">
      <items count="5">
        <item x="2"/>
        <item x="3"/>
        <item x="1"/>
        <item x="0"/>
        <item t="default"/>
      </items>
    </pivotField>
    <pivotField axis="axisRow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antidad" fld="6" subtotal="count" baseField="7" baseItem="0"/>
  </dataFields>
  <formats count="15">
    <format dxfId="4221">
      <pivotArea type="all" dataOnly="0" outline="0" fieldPosition="0"/>
    </format>
    <format dxfId="4222">
      <pivotArea outline="0" collapsedLevelsAreSubtotals="1" fieldPosition="0"/>
    </format>
    <format dxfId="4223">
      <pivotArea field="7" type="button" dataOnly="0" labelOnly="1" outline="0"/>
    </format>
    <format dxfId="4224">
      <pivotArea dataOnly="0" labelOnly="1" grandRow="1" outline="0" fieldPosition="0"/>
    </format>
    <format dxfId="4225">
      <pivotArea dataOnly="0" labelOnly="1" outline="0" axis="axisValues" fieldPosition="0"/>
    </format>
    <format dxfId="4226">
      <pivotArea type="all" dataOnly="0" outline="0" fieldPosition="0"/>
    </format>
    <format dxfId="4227">
      <pivotArea outline="0" collapsedLevelsAreSubtotals="1" fieldPosition="0"/>
    </format>
    <format dxfId="4228">
      <pivotArea field="7" type="button" dataOnly="0" labelOnly="1" outline="0"/>
    </format>
    <format dxfId="4229">
      <pivotArea dataOnly="0" labelOnly="1" grandRow="1" outline="0" fieldPosition="0"/>
    </format>
    <format dxfId="4230">
      <pivotArea dataOnly="0" labelOnly="1" outline="0" axis="axisValues" fieldPosition="0"/>
    </format>
    <format dxfId="4231">
      <pivotArea type="all" dataOnly="0" outline="0" fieldPosition="0"/>
    </format>
    <format dxfId="4232">
      <pivotArea outline="0" collapsedLevelsAreSubtotals="1" fieldPosition="0"/>
    </format>
    <format dxfId="4233">
      <pivotArea field="7" type="button" dataOnly="0" labelOnly="1" outline="0"/>
    </format>
    <format dxfId="4234">
      <pivotArea dataOnly="0" labelOnly="1" grandRow="1" outline="0" fieldPosition="0"/>
    </format>
    <format dxfId="423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2D57D-693B-4CD9-A792-6C714241342A}" name="TablaDiná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">
  <location ref="B7:C12" firstHeaderRow="1" firstDataRow="1" firstDataCol="1"/>
  <pivotFields count="16">
    <pivotField showAll="0" insertBlankRow="1"/>
    <pivotField numFmtId="165" showAll="0" insertBlankRow="1"/>
    <pivotField numFmtId="165" showAll="0" insertBlankRow="1"/>
    <pivotField showAll="0" insertBlankRow="1"/>
    <pivotField showAll="0" insertBlankRow="1"/>
    <pivotField showAll="0" insertBlankRow="1"/>
    <pivotField dataField="1" showAll="0" insertBlankRow="1">
      <items count="4">
        <item x="2"/>
        <item x="0"/>
        <item x="1"/>
        <item t="default"/>
      </items>
    </pivotField>
    <pivotField axis="axisRow" insertBlankRow="1">
      <items count="5">
        <item x="2"/>
        <item x="3"/>
        <item x="1"/>
        <item x="0"/>
        <item t="default"/>
      </items>
    </pivotField>
    <pivotField showAll="0" insertBlankRow="1"/>
    <pivotField showAll="0" insertBlankRow="1"/>
    <pivotField showAll="0" insertBlankRow="1"/>
    <pivotField showAll="0" insertBlankRow="1"/>
    <pivotField showAll="0" insertBlankRow="1"/>
    <pivotField showAll="0" insertBlankRow="1"/>
    <pivotField showAll="0" insertBlankRow="1"/>
    <pivotField showAll="0" insertBlankRow="1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antidad" fld="6" subtotal="count" baseField="7" baseItem="0"/>
  </dataFields>
  <formats count="18">
    <format dxfId="4253">
      <pivotArea type="all" dataOnly="0" outline="0" fieldPosition="0"/>
    </format>
    <format dxfId="4252">
      <pivotArea outline="0" collapsedLevelsAreSubtotals="1" fieldPosition="0"/>
    </format>
    <format dxfId="4251">
      <pivotArea field="7" type="button" dataOnly="0" labelOnly="1" outline="0" axis="axisRow" fieldPosition="0"/>
    </format>
    <format dxfId="4250">
      <pivotArea dataOnly="0" labelOnly="1" fieldPosition="0">
        <references count="1">
          <reference field="7" count="0"/>
        </references>
      </pivotArea>
    </format>
    <format dxfId="4249">
      <pivotArea dataOnly="0" labelOnly="1" grandRow="1" outline="0" fieldPosition="0"/>
    </format>
    <format dxfId="4248">
      <pivotArea dataOnly="0" labelOnly="1" outline="0" axis="axisValues" fieldPosition="0"/>
    </format>
    <format dxfId="4247">
      <pivotArea type="all" dataOnly="0" outline="0" fieldPosition="0"/>
    </format>
    <format dxfId="4246">
      <pivotArea outline="0" collapsedLevelsAreSubtotals="1" fieldPosition="0"/>
    </format>
    <format dxfId="4245">
      <pivotArea field="7" type="button" dataOnly="0" labelOnly="1" outline="0" axis="axisRow" fieldPosition="0"/>
    </format>
    <format dxfId="4244">
      <pivotArea dataOnly="0" labelOnly="1" fieldPosition="0">
        <references count="1">
          <reference field="7" count="0"/>
        </references>
      </pivotArea>
    </format>
    <format dxfId="4243">
      <pivotArea dataOnly="0" labelOnly="1" grandRow="1" outline="0" fieldPosition="0"/>
    </format>
    <format dxfId="4242">
      <pivotArea dataOnly="0" labelOnly="1" outline="0" axis="axisValues" fieldPosition="0"/>
    </format>
    <format dxfId="4241">
      <pivotArea type="all" dataOnly="0" outline="0" fieldPosition="0"/>
    </format>
    <format dxfId="4240">
      <pivotArea outline="0" collapsedLevelsAreSubtotals="1" fieldPosition="0"/>
    </format>
    <format dxfId="4239">
      <pivotArea field="7" type="button" dataOnly="0" labelOnly="1" outline="0" axis="axisRow" fieldPosition="0"/>
    </format>
    <format dxfId="4238">
      <pivotArea dataOnly="0" labelOnly="1" fieldPosition="0">
        <references count="1">
          <reference field="7" count="0"/>
        </references>
      </pivotArea>
    </format>
    <format dxfId="4237">
      <pivotArea dataOnly="0" labelOnly="1" grandRow="1" outline="0" fieldPosition="0"/>
    </format>
    <format dxfId="423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InsertBlankRowDefault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versidad" xr10:uid="{9566DD51-0AAE-4D4F-A48A-661DAAAB56C8}" sourceName="Universidad">
  <pivotTables>
    <pivotTable tabId="2" name="TablaDinámica1"/>
    <pivotTable tabId="2" name="TablaDinámica2"/>
    <pivotTable tabId="2" name="TablaDinámica3"/>
    <pivotTable tabId="2" name="TablaDinámica5"/>
    <pivotTable tabId="2" name="TablaDinámica6"/>
    <pivotTable tabId="2" name="TablaDinámica7"/>
    <pivotTable tabId="2" name="TablaDinámica8"/>
    <pivotTable tabId="2" name="TablaDinámica9"/>
  </pivotTables>
  <data>
    <tabular pivotCacheId="672748752">
      <items count="3">
        <i x="2" s="1"/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versidad" xr10:uid="{4C7A8575-9811-4411-967A-47570ACD8C22}" cache="SegmentaciónDeDatos_Universidad" caption="Universidad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P19" totalsRowShown="0">
  <autoFilter ref="A1:P19" xr:uid="{00000000-0009-0000-0100-000001000000}"/>
  <tableColumns count="16">
    <tableColumn id="1" xr3:uid="{00000000-0010-0000-0000-000001000000}" name="ID" dataDxfId="4269"/>
    <tableColumn id="2" xr3:uid="{00000000-0010-0000-0000-000002000000}" name="Hora de inicio" dataDxfId="4268"/>
    <tableColumn id="3" xr3:uid="{00000000-0010-0000-0000-000003000000}" name="Hora de finalización" dataDxfId="4267"/>
    <tableColumn id="4" xr3:uid="{00000000-0010-0000-0000-000004000000}" name="Correo electrónico" dataDxfId="4266"/>
    <tableColumn id="5" xr3:uid="{00000000-0010-0000-0000-000005000000}" name="Nombre" dataDxfId="4265"/>
    <tableColumn id="6" xr3:uid="{00000000-0010-0000-0000-000006000000}" name="Hora de la última modificación" dataDxfId="4264"/>
    <tableColumn id="7" xr3:uid="{00000000-0010-0000-0000-000007000000}" name="Universidad" dataDxfId="4263"/>
    <tableColumn id="8" xr3:uid="{00000000-0010-0000-0000-000008000000}" name="¿Con qué frecuencia utiliza la biblioteca de la Universidad?" dataDxfId="4262"/>
    <tableColumn id="9" xr3:uid="{00000000-0010-0000-0000-000009000000}" name="Califique el tiempo que tarda el proceso de préstamo del material bibliográfico." dataDxfId="4261"/>
    <tableColumn id="10" xr3:uid="{00000000-0010-0000-0000-00000A000000}" name="Califique qué tan ágil y eficiente considera el proceso de devolución de los libros." dataDxfId="4260"/>
    <tableColumn id="11" xr3:uid="{00000000-0010-0000-0000-00000B000000}" name="¿Qué tan fácil le resulta encontrar el material bibliográfico que necesita en la biblioteca?" dataDxfId="4259"/>
    <tableColumn id="12" xr3:uid="{00000000-0010-0000-0000-00000C000000}" name="¿Cómo califica el funcionamiento del sistema actual de gestión de la biblioteca?" dataDxfId="4258"/>
    <tableColumn id="13" xr3:uid="{00000000-0010-0000-0000-00000D000000}" name="¿Considera necesario mejorar o cambiar el sistema actual de gestión de la biblioteca?" dataDxfId="4257"/>
    <tableColumn id="14" xr3:uid="{00000000-0010-0000-0000-00000E000000}" name="¿Ha tenido alguna dificultad al momento de prestar o devolver material bibliográfico?" dataDxfId="4256"/>
    <tableColumn id="15" xr3:uid="{00000000-0010-0000-0000-00000F000000}" name="¿Cuál ha sido la principal dificultad?" dataDxfId="4255"/>
    <tableColumn id="16" xr3:uid="{00000000-0010-0000-0000-000010000000}" name="Comentarios adicionales" dataDxfId="425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"/>
  <sheetViews>
    <sheetView tabSelected="1" workbookViewId="0">
      <selection activeCell="H14" sqref="H14"/>
    </sheetView>
  </sheetViews>
  <sheetFormatPr baseColWidth="10" defaultColWidth="8.7265625" defaultRowHeight="14.5" x14ac:dyDescent="0.35"/>
  <cols>
    <col min="1" max="16" width="20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5">
      <c r="A2">
        <v>1</v>
      </c>
      <c r="B2" s="1">
        <v>46092.746921296297</v>
      </c>
      <c r="C2" s="1">
        <v>46092.751840277801</v>
      </c>
      <c r="D2" t="s">
        <v>16</v>
      </c>
      <c r="F2" s="1"/>
      <c r="G2" t="s">
        <v>17</v>
      </c>
      <c r="H2" t="s">
        <v>18</v>
      </c>
      <c r="I2" t="s">
        <v>19</v>
      </c>
      <c r="J2" t="s">
        <v>19</v>
      </c>
      <c r="K2" t="s">
        <v>20</v>
      </c>
      <c r="L2" t="s">
        <v>19</v>
      </c>
      <c r="M2" t="s">
        <v>21</v>
      </c>
      <c r="N2" t="s">
        <v>22</v>
      </c>
    </row>
    <row r="3" spans="1:16" x14ac:dyDescent="0.35">
      <c r="A3">
        <v>2</v>
      </c>
      <c r="B3" s="1">
        <v>46092.7553356481</v>
      </c>
      <c r="C3" s="1">
        <v>46092.756273148101</v>
      </c>
      <c r="D3" t="s">
        <v>16</v>
      </c>
      <c r="F3" s="1"/>
      <c r="G3" t="s">
        <v>17</v>
      </c>
      <c r="H3" t="s">
        <v>18</v>
      </c>
      <c r="I3" t="s">
        <v>23</v>
      </c>
      <c r="J3" t="s">
        <v>24</v>
      </c>
      <c r="K3" t="s">
        <v>25</v>
      </c>
      <c r="L3" t="s">
        <v>26</v>
      </c>
      <c r="M3" t="s">
        <v>21</v>
      </c>
      <c r="N3" t="s">
        <v>22</v>
      </c>
    </row>
    <row r="4" spans="1:16" x14ac:dyDescent="0.35">
      <c r="A4">
        <v>3</v>
      </c>
      <c r="B4" s="1">
        <v>46092.756423611099</v>
      </c>
      <c r="C4" s="1">
        <v>46092.756828703699</v>
      </c>
      <c r="D4" t="s">
        <v>16</v>
      </c>
      <c r="F4" s="1"/>
      <c r="G4" t="s">
        <v>17</v>
      </c>
      <c r="H4" t="s">
        <v>27</v>
      </c>
      <c r="I4" t="s">
        <v>19</v>
      </c>
      <c r="J4" t="s">
        <v>26</v>
      </c>
      <c r="K4" t="s">
        <v>20</v>
      </c>
      <c r="L4" t="s">
        <v>28</v>
      </c>
      <c r="M4" t="s">
        <v>21</v>
      </c>
      <c r="N4" t="s">
        <v>22</v>
      </c>
    </row>
    <row r="5" spans="1:16" x14ac:dyDescent="0.35">
      <c r="A5">
        <v>4</v>
      </c>
      <c r="B5" s="1">
        <v>46092.7569097222</v>
      </c>
      <c r="C5" s="1">
        <v>46092.761331018497</v>
      </c>
      <c r="D5" t="s">
        <v>16</v>
      </c>
      <c r="F5" s="1"/>
      <c r="G5" t="s">
        <v>17</v>
      </c>
      <c r="H5" t="s">
        <v>27</v>
      </c>
      <c r="I5" t="s">
        <v>19</v>
      </c>
      <c r="J5" t="s">
        <v>29</v>
      </c>
      <c r="K5" t="s">
        <v>20</v>
      </c>
      <c r="L5" t="s">
        <v>28</v>
      </c>
      <c r="M5" t="s">
        <v>21</v>
      </c>
      <c r="N5" t="s">
        <v>22</v>
      </c>
    </row>
    <row r="6" spans="1:16" x14ac:dyDescent="0.35">
      <c r="A6">
        <v>5</v>
      </c>
      <c r="B6" s="1">
        <v>46092.761365740698</v>
      </c>
      <c r="C6" s="1">
        <v>46092.762708333299</v>
      </c>
      <c r="D6" t="s">
        <v>16</v>
      </c>
      <c r="F6" s="1"/>
      <c r="G6" t="s">
        <v>17</v>
      </c>
      <c r="H6" t="s">
        <v>18</v>
      </c>
      <c r="I6" t="s">
        <v>30</v>
      </c>
      <c r="J6" t="s">
        <v>26</v>
      </c>
      <c r="K6" t="s">
        <v>25</v>
      </c>
      <c r="L6" t="s">
        <v>19</v>
      </c>
      <c r="M6" t="s">
        <v>22</v>
      </c>
      <c r="N6" t="s">
        <v>22</v>
      </c>
    </row>
    <row r="7" spans="1:16" x14ac:dyDescent="0.35">
      <c r="A7">
        <v>6</v>
      </c>
      <c r="B7" s="1">
        <v>46092.762905092597</v>
      </c>
      <c r="C7" s="1">
        <v>46092.7636458333</v>
      </c>
      <c r="D7" t="s">
        <v>16</v>
      </c>
      <c r="F7" s="1"/>
      <c r="G7" t="s">
        <v>17</v>
      </c>
      <c r="H7" t="s">
        <v>18</v>
      </c>
      <c r="I7" t="s">
        <v>19</v>
      </c>
      <c r="J7" t="s">
        <v>19</v>
      </c>
      <c r="K7" t="s">
        <v>25</v>
      </c>
      <c r="L7" t="s">
        <v>28</v>
      </c>
      <c r="M7" t="s">
        <v>21</v>
      </c>
      <c r="N7" t="s">
        <v>22</v>
      </c>
    </row>
    <row r="8" spans="1:16" x14ac:dyDescent="0.35">
      <c r="A8">
        <v>7</v>
      </c>
      <c r="B8" s="1">
        <v>46092.763414351903</v>
      </c>
      <c r="C8" s="1">
        <v>46092.763993055603</v>
      </c>
      <c r="D8" t="s">
        <v>16</v>
      </c>
      <c r="F8" s="1"/>
      <c r="G8" t="s">
        <v>31</v>
      </c>
      <c r="H8" t="s">
        <v>27</v>
      </c>
      <c r="I8" t="s">
        <v>32</v>
      </c>
      <c r="J8" t="s">
        <v>26</v>
      </c>
      <c r="K8" t="s">
        <v>25</v>
      </c>
      <c r="L8" t="s">
        <v>24</v>
      </c>
      <c r="M8" t="s">
        <v>22</v>
      </c>
      <c r="N8" t="s">
        <v>22</v>
      </c>
    </row>
    <row r="9" spans="1:16" x14ac:dyDescent="0.35">
      <c r="A9">
        <v>8</v>
      </c>
      <c r="B9" s="1">
        <v>46092.763680555603</v>
      </c>
      <c r="C9" s="1">
        <v>46092.764537037001</v>
      </c>
      <c r="D9" t="s">
        <v>16</v>
      </c>
      <c r="F9" s="1"/>
      <c r="G9" t="s">
        <v>17</v>
      </c>
      <c r="H9" t="s">
        <v>18</v>
      </c>
      <c r="I9" t="s">
        <v>19</v>
      </c>
      <c r="J9" t="s">
        <v>28</v>
      </c>
      <c r="K9" t="s">
        <v>33</v>
      </c>
      <c r="L9" t="s">
        <v>19</v>
      </c>
      <c r="M9" t="s">
        <v>21</v>
      </c>
      <c r="N9" t="s">
        <v>22</v>
      </c>
    </row>
    <row r="10" spans="1:16" x14ac:dyDescent="0.35">
      <c r="A10">
        <v>9</v>
      </c>
      <c r="B10" s="1">
        <v>46092.766145833302</v>
      </c>
      <c r="C10" s="1">
        <v>46092.7665277778</v>
      </c>
      <c r="D10" t="s">
        <v>16</v>
      </c>
      <c r="F10" s="1"/>
      <c r="G10" t="s">
        <v>34</v>
      </c>
      <c r="H10" t="s">
        <v>27</v>
      </c>
      <c r="I10" t="s">
        <v>19</v>
      </c>
      <c r="J10" t="s">
        <v>28</v>
      </c>
      <c r="K10" t="s">
        <v>20</v>
      </c>
      <c r="L10" t="s">
        <v>19</v>
      </c>
      <c r="M10" t="s">
        <v>21</v>
      </c>
      <c r="N10" t="s">
        <v>21</v>
      </c>
      <c r="O10" t="s">
        <v>35</v>
      </c>
    </row>
    <row r="11" spans="1:16" x14ac:dyDescent="0.35">
      <c r="A11">
        <v>10</v>
      </c>
      <c r="B11" s="1">
        <v>46092.766180555598</v>
      </c>
      <c r="C11" s="1">
        <v>46092.767060185201</v>
      </c>
      <c r="D11" t="s">
        <v>16</v>
      </c>
      <c r="F11" s="1"/>
      <c r="G11" t="s">
        <v>17</v>
      </c>
      <c r="H11" t="s">
        <v>36</v>
      </c>
      <c r="I11" t="s">
        <v>32</v>
      </c>
      <c r="J11" t="s">
        <v>26</v>
      </c>
      <c r="K11" t="s">
        <v>33</v>
      </c>
      <c r="L11" t="s">
        <v>26</v>
      </c>
      <c r="M11" t="s">
        <v>22</v>
      </c>
      <c r="N11" t="s">
        <v>22</v>
      </c>
    </row>
    <row r="12" spans="1:16" x14ac:dyDescent="0.35">
      <c r="A12">
        <v>11</v>
      </c>
      <c r="B12" s="1">
        <v>46092.767141203702</v>
      </c>
      <c r="C12" s="1">
        <v>46092.768159722204</v>
      </c>
      <c r="D12" t="s">
        <v>16</v>
      </c>
      <c r="F12" s="1"/>
      <c r="G12" t="s">
        <v>17</v>
      </c>
      <c r="H12" t="s">
        <v>18</v>
      </c>
      <c r="I12" t="s">
        <v>19</v>
      </c>
      <c r="J12" t="s">
        <v>26</v>
      </c>
      <c r="K12" t="s">
        <v>37</v>
      </c>
      <c r="L12" t="s">
        <v>28</v>
      </c>
      <c r="M12" t="s">
        <v>22</v>
      </c>
      <c r="N12" t="s">
        <v>22</v>
      </c>
    </row>
    <row r="13" spans="1:16" x14ac:dyDescent="0.35">
      <c r="A13">
        <v>12</v>
      </c>
      <c r="B13" s="1">
        <v>46092.768240740697</v>
      </c>
      <c r="C13" s="1">
        <v>46092.769236111097</v>
      </c>
      <c r="D13" t="s">
        <v>16</v>
      </c>
      <c r="F13" s="1"/>
      <c r="G13" t="s">
        <v>17</v>
      </c>
      <c r="H13" t="s">
        <v>27</v>
      </c>
      <c r="I13" t="s">
        <v>32</v>
      </c>
      <c r="J13" t="s">
        <v>26</v>
      </c>
      <c r="K13" t="s">
        <v>33</v>
      </c>
      <c r="L13" t="s">
        <v>26</v>
      </c>
      <c r="M13" t="s">
        <v>22</v>
      </c>
      <c r="N13" t="s">
        <v>22</v>
      </c>
    </row>
    <row r="14" spans="1:16" x14ac:dyDescent="0.35">
      <c r="A14">
        <v>13</v>
      </c>
      <c r="B14" s="1">
        <v>46092.770104166702</v>
      </c>
      <c r="C14" s="1">
        <v>46092.771388888897</v>
      </c>
      <c r="D14" t="s">
        <v>16</v>
      </c>
      <c r="F14" s="1"/>
      <c r="G14" t="s">
        <v>17</v>
      </c>
      <c r="H14" t="s">
        <v>18</v>
      </c>
      <c r="I14" t="s">
        <v>19</v>
      </c>
      <c r="J14" t="s">
        <v>26</v>
      </c>
      <c r="K14" t="s">
        <v>33</v>
      </c>
      <c r="L14" t="s">
        <v>26</v>
      </c>
      <c r="M14" t="s">
        <v>22</v>
      </c>
      <c r="N14" t="s">
        <v>22</v>
      </c>
    </row>
    <row r="15" spans="1:16" x14ac:dyDescent="0.35">
      <c r="A15">
        <v>14</v>
      </c>
      <c r="B15" s="1">
        <v>46092.771585648101</v>
      </c>
      <c r="C15" s="1">
        <v>46092.772523148102</v>
      </c>
      <c r="D15" t="s">
        <v>16</v>
      </c>
      <c r="F15" s="1"/>
      <c r="G15" t="s">
        <v>17</v>
      </c>
      <c r="H15" t="s">
        <v>18</v>
      </c>
      <c r="I15" t="s">
        <v>19</v>
      </c>
      <c r="J15" t="s">
        <v>19</v>
      </c>
      <c r="K15" t="s">
        <v>37</v>
      </c>
      <c r="L15" t="s">
        <v>26</v>
      </c>
      <c r="M15" t="s">
        <v>21</v>
      </c>
      <c r="N15" t="s">
        <v>22</v>
      </c>
      <c r="P15" t="s">
        <v>38</v>
      </c>
    </row>
    <row r="16" spans="1:16" x14ac:dyDescent="0.35">
      <c r="A16">
        <v>15</v>
      </c>
      <c r="B16" s="1">
        <v>46092.772615740701</v>
      </c>
      <c r="C16" s="1">
        <v>46092.773240740702</v>
      </c>
      <c r="D16" t="s">
        <v>16</v>
      </c>
      <c r="F16" s="1"/>
      <c r="G16" t="s">
        <v>17</v>
      </c>
      <c r="H16" t="s">
        <v>27</v>
      </c>
      <c r="I16" t="s">
        <v>19</v>
      </c>
      <c r="J16" t="s">
        <v>26</v>
      </c>
      <c r="K16" t="s">
        <v>33</v>
      </c>
      <c r="L16" t="s">
        <v>26</v>
      </c>
      <c r="M16" t="s">
        <v>22</v>
      </c>
      <c r="N16" t="s">
        <v>22</v>
      </c>
      <c r="P16" t="s">
        <v>39</v>
      </c>
    </row>
    <row r="17" spans="1:16" x14ac:dyDescent="0.35">
      <c r="A17">
        <v>16</v>
      </c>
      <c r="B17" s="1">
        <v>46092.773414351803</v>
      </c>
      <c r="C17" s="1">
        <v>46092.774490740703</v>
      </c>
      <c r="D17" t="s">
        <v>16</v>
      </c>
      <c r="F17" s="1"/>
      <c r="G17" t="s">
        <v>17</v>
      </c>
      <c r="H17" t="s">
        <v>40</v>
      </c>
      <c r="I17" t="s">
        <v>19</v>
      </c>
      <c r="J17" t="s">
        <v>26</v>
      </c>
      <c r="K17" t="s">
        <v>33</v>
      </c>
      <c r="L17" t="s">
        <v>24</v>
      </c>
      <c r="M17" t="s">
        <v>22</v>
      </c>
      <c r="N17" t="s">
        <v>22</v>
      </c>
      <c r="P17" t="s">
        <v>41</v>
      </c>
    </row>
    <row r="18" spans="1:16" x14ac:dyDescent="0.35">
      <c r="A18">
        <v>17</v>
      </c>
      <c r="B18" s="1">
        <v>46092.774872685201</v>
      </c>
      <c r="C18" s="1">
        <v>46092.775648148097</v>
      </c>
      <c r="D18" t="s">
        <v>16</v>
      </c>
      <c r="F18" s="1"/>
      <c r="G18" t="s">
        <v>17</v>
      </c>
      <c r="H18" t="s">
        <v>27</v>
      </c>
      <c r="I18" t="s">
        <v>19</v>
      </c>
      <c r="J18" t="s">
        <v>19</v>
      </c>
      <c r="K18" t="s">
        <v>37</v>
      </c>
      <c r="L18" t="s">
        <v>29</v>
      </c>
      <c r="M18" t="s">
        <v>22</v>
      </c>
      <c r="N18" t="s">
        <v>22</v>
      </c>
    </row>
    <row r="19" spans="1:16" x14ac:dyDescent="0.35">
      <c r="A19">
        <v>18</v>
      </c>
      <c r="B19" s="1">
        <v>46092.8183796296</v>
      </c>
      <c r="C19" s="1">
        <v>46092.818877314799</v>
      </c>
      <c r="D19" t="s">
        <v>16</v>
      </c>
      <c r="F19" s="1"/>
      <c r="G19" t="s">
        <v>17</v>
      </c>
      <c r="H19" t="s">
        <v>18</v>
      </c>
      <c r="I19" t="s">
        <v>23</v>
      </c>
      <c r="J19" t="s">
        <v>24</v>
      </c>
      <c r="K19" t="s">
        <v>37</v>
      </c>
      <c r="L19" t="s">
        <v>19</v>
      </c>
      <c r="M19" t="s">
        <v>22</v>
      </c>
      <c r="N19" t="s">
        <v>22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ADF1-BB00-4F39-BF9D-49643343CA9A}">
  <dimension ref="B6:L29"/>
  <sheetViews>
    <sheetView zoomScale="130" zoomScaleNormal="130" workbookViewId="0">
      <selection activeCell="O5" sqref="O5"/>
    </sheetView>
  </sheetViews>
  <sheetFormatPr baseColWidth="10" defaultRowHeight="14.5" x14ac:dyDescent="0.35"/>
  <cols>
    <col min="1" max="1" width="4.7265625" style="9" customWidth="1"/>
    <col min="2" max="2" width="11.81640625" style="9" bestFit="1" customWidth="1"/>
    <col min="3" max="3" width="8.36328125" style="9" bestFit="1" customWidth="1"/>
    <col min="4" max="4" width="9.81640625" style="9" customWidth="1"/>
    <col min="5" max="5" width="5.81640625" style="9" customWidth="1"/>
    <col min="6" max="6" width="11.81640625" style="9" bestFit="1" customWidth="1"/>
    <col min="7" max="7" width="8.36328125" style="9" bestFit="1" customWidth="1"/>
    <col min="8" max="8" width="11.90625" style="9" customWidth="1"/>
    <col min="9" max="9" width="5.453125" style="9" customWidth="1"/>
    <col min="10" max="10" width="19.1796875" style="9" bestFit="1" customWidth="1"/>
    <col min="11" max="11" width="8.36328125" style="9" bestFit="1" customWidth="1"/>
    <col min="12" max="12" width="10.90625" style="9"/>
    <col min="13" max="13" width="5.453125" style="9" customWidth="1"/>
    <col min="14" max="14" width="19.1796875" style="9" bestFit="1" customWidth="1"/>
    <col min="15" max="15" width="8.36328125" style="9" customWidth="1"/>
    <col min="16" max="16384" width="10.90625" style="9"/>
  </cols>
  <sheetData>
    <row r="6" spans="2:12" x14ac:dyDescent="0.35">
      <c r="B6" s="2" t="s">
        <v>46</v>
      </c>
      <c r="C6" s="2"/>
      <c r="D6" s="2"/>
      <c r="F6" s="2" t="s">
        <v>47</v>
      </c>
      <c r="G6" s="2"/>
      <c r="H6" s="2"/>
      <c r="J6" s="2" t="s">
        <v>48</v>
      </c>
      <c r="K6" s="2"/>
      <c r="L6" s="2"/>
    </row>
    <row r="7" spans="2:12" x14ac:dyDescent="0.35">
      <c r="B7" s="3" t="s">
        <v>45</v>
      </c>
      <c r="C7" s="4" t="s">
        <v>44</v>
      </c>
      <c r="D7" s="5" t="s">
        <v>43</v>
      </c>
      <c r="F7" s="3" t="s">
        <v>45</v>
      </c>
      <c r="G7" s="4" t="s">
        <v>44</v>
      </c>
      <c r="H7" s="5" t="s">
        <v>43</v>
      </c>
      <c r="J7" s="3" t="s">
        <v>45</v>
      </c>
      <c r="K7" s="4" t="s">
        <v>44</v>
      </c>
      <c r="L7" s="5" t="s">
        <v>43</v>
      </c>
    </row>
    <row r="8" spans="2:12" x14ac:dyDescent="0.35">
      <c r="B8" s="4" t="s">
        <v>36</v>
      </c>
      <c r="C8" s="6">
        <v>1</v>
      </c>
      <c r="D8" s="7">
        <f>GETPIVOTDATA("Universidad",$B$7,"¿Con qué frecuencia utiliza la biblioteca de la Universidad?","Frecuentemente")/GETPIVOTDATA("Universidad",$B$7)</f>
        <v>5.5555555555555552E-2</v>
      </c>
      <c r="F8" s="4" t="s">
        <v>19</v>
      </c>
      <c r="G8" s="6">
        <v>12</v>
      </c>
      <c r="H8" s="7">
        <f>GETPIVOTDATA("Universidad",$F$7,"Califique el tiempo que tarda el proceso de préstamo del material bibliográfico.","Aceptable")/GETPIVOTDATA("Universidad",$F$7)</f>
        <v>0.66666666666666663</v>
      </c>
      <c r="J8" s="4" t="s">
        <v>20</v>
      </c>
      <c r="K8" s="6">
        <v>4</v>
      </c>
      <c r="L8" s="7">
        <f>GETPIVOTDATA("Universidad",$J$7,"¿Qué tan fácil le resulta encontrar el material bibliográfico que necesita en la biblioteca?","Difícil")/GETPIVOTDATA("Universidad",$J$7)</f>
        <v>0.22222222222222221</v>
      </c>
    </row>
    <row r="9" spans="2:12" x14ac:dyDescent="0.35">
      <c r="B9" s="4" t="s">
        <v>40</v>
      </c>
      <c r="C9" s="6">
        <v>1</v>
      </c>
      <c r="D9" s="7">
        <f>GETPIVOTDATA("Universidad",$B$7,"¿Con qué frecuencia utiliza la biblioteca de la Universidad?","Nunca")/GETPIVOTDATA("Universidad",$B$7)</f>
        <v>5.5555555555555552E-2</v>
      </c>
      <c r="F9" s="4" t="s">
        <v>30</v>
      </c>
      <c r="G9" s="6">
        <v>1</v>
      </c>
      <c r="H9" s="7">
        <f>GETPIVOTDATA("Universidad",$F$7,"Califique el tiempo que tarda el proceso de préstamo del material bibliográfico.","Muy lento")/GETPIVOTDATA("Universidad",$F$7)</f>
        <v>5.5555555555555552E-2</v>
      </c>
      <c r="J9" s="4" t="s">
        <v>33</v>
      </c>
      <c r="K9" s="6">
        <v>6</v>
      </c>
      <c r="L9" s="7">
        <f>GETPIVOTDATA("Universidad",$J$7,"¿Qué tan fácil le resulta encontrar el material bibliográfico que necesita en la biblioteca?","Fácil")/GETPIVOTDATA("Universidad",$J$7)</f>
        <v>0.33333333333333331</v>
      </c>
    </row>
    <row r="10" spans="2:12" x14ac:dyDescent="0.35">
      <c r="B10" s="4" t="s">
        <v>27</v>
      </c>
      <c r="C10" s="6">
        <v>7</v>
      </c>
      <c r="D10" s="7">
        <f>GETPIVOTDATA("Universidad",$B$7,"¿Con qué frecuencia utiliza la biblioteca de la Universidad?","Ocasionalmente")/GETPIVOTDATA("Universidad",$B$7)</f>
        <v>0.3888888888888889</v>
      </c>
      <c r="F10" s="4" t="s">
        <v>23</v>
      </c>
      <c r="G10" s="6">
        <v>2</v>
      </c>
      <c r="H10" s="7">
        <f>GETPIVOTDATA("Universidad",$F$7,"Califique el tiempo que tarda el proceso de préstamo del material bibliográfico.","Muy rápido")/GETPIVOTDATA("Universidad",$F$7)</f>
        <v>0.1111111111111111</v>
      </c>
      <c r="J10" s="4" t="s">
        <v>25</v>
      </c>
      <c r="K10" s="6">
        <v>4</v>
      </c>
      <c r="L10" s="7">
        <f>GETPIVOTDATA("Universidad",$J$7,"¿Qué tan fácil le resulta encontrar el material bibliográfico que necesita en la biblioteca?","Muy fácil")/GETPIVOTDATA("Universidad",$J$7)</f>
        <v>0.22222222222222221</v>
      </c>
    </row>
    <row r="11" spans="2:12" x14ac:dyDescent="0.35">
      <c r="B11" s="4" t="s">
        <v>18</v>
      </c>
      <c r="C11" s="6">
        <v>9</v>
      </c>
      <c r="D11" s="7">
        <f>GETPIVOTDATA("Universidad",$B$7,"¿Con qué frecuencia utiliza la biblioteca de la Universidad?","Rara vez")/GETPIVOTDATA("Universidad",$B$7)</f>
        <v>0.5</v>
      </c>
      <c r="F11" s="4" t="s">
        <v>32</v>
      </c>
      <c r="G11" s="6">
        <v>3</v>
      </c>
      <c r="H11" s="7">
        <f>GETPIVOTDATA("Universidad",$F$7,"Califique el tiempo que tarda el proceso de préstamo del material bibliográfico.","Rápido")/GETPIVOTDATA("Universidad",$F$7)</f>
        <v>0.16666666666666666</v>
      </c>
      <c r="J11" s="4" t="s">
        <v>49</v>
      </c>
      <c r="K11" s="6">
        <v>4</v>
      </c>
      <c r="L11" s="7">
        <f>GETPIVOTDATA("Universidad",$J$7,"¿Qué tan fácil le resulta encontrar el material bibliográfico que necesita en la biblioteca?","Neutral")/GETPIVOTDATA("Universidad",$J$7)</f>
        <v>0.22222222222222221</v>
      </c>
    </row>
    <row r="12" spans="2:12" x14ac:dyDescent="0.35">
      <c r="B12" s="4" t="s">
        <v>42</v>
      </c>
      <c r="C12" s="6">
        <v>18</v>
      </c>
      <c r="D12" s="8">
        <f>SUM(D8:D11)</f>
        <v>1</v>
      </c>
      <c r="F12" s="4" t="s">
        <v>42</v>
      </c>
      <c r="G12" s="6">
        <v>18</v>
      </c>
      <c r="H12" s="8">
        <f>SUM(H8:H11)</f>
        <v>0.99999999999999989</v>
      </c>
      <c r="J12" s="4" t="s">
        <v>42</v>
      </c>
      <c r="K12" s="6">
        <v>18</v>
      </c>
      <c r="L12" s="8">
        <f>SUM(L8:L11)</f>
        <v>1</v>
      </c>
    </row>
    <row r="15" spans="2:12" x14ac:dyDescent="0.35">
      <c r="B15" s="2" t="s">
        <v>51</v>
      </c>
      <c r="C15" s="2"/>
      <c r="D15" s="2"/>
      <c r="F15" s="2" t="s">
        <v>54</v>
      </c>
      <c r="G15" s="2"/>
      <c r="H15" s="2"/>
      <c r="J15" s="2" t="s">
        <v>53</v>
      </c>
      <c r="K15" s="2"/>
      <c r="L15" s="2"/>
    </row>
    <row r="16" spans="2:12" x14ac:dyDescent="0.35">
      <c r="B16" s="3" t="s">
        <v>45</v>
      </c>
      <c r="C16" s="4" t="s">
        <v>44</v>
      </c>
      <c r="D16" s="5" t="s">
        <v>43</v>
      </c>
      <c r="F16" s="3" t="s">
        <v>45</v>
      </c>
      <c r="G16" s="4" t="s">
        <v>44</v>
      </c>
      <c r="H16" s="5" t="s">
        <v>43</v>
      </c>
      <c r="J16" s="3" t="s">
        <v>45</v>
      </c>
      <c r="K16" s="4" t="s">
        <v>44</v>
      </c>
      <c r="L16" s="5" t="s">
        <v>43</v>
      </c>
    </row>
    <row r="17" spans="2:12" x14ac:dyDescent="0.35">
      <c r="B17" s="4" t="s">
        <v>19</v>
      </c>
      <c r="C17" s="6">
        <v>4</v>
      </c>
      <c r="D17" s="7">
        <f>GETPIVOTDATA("Universidad",$B$16,"Califique qué tan ágil y eficiente considera el proceso de devolución de los libros.","Aceptable")/GETPIVOTDATA("Universidad",$B$16)</f>
        <v>0.22222222222222221</v>
      </c>
      <c r="F17" s="4" t="s">
        <v>19</v>
      </c>
      <c r="G17" s="6">
        <v>5</v>
      </c>
      <c r="H17" s="7">
        <f>GETPIVOTDATA("Universidad",$F$16,"¿Cómo califica el funcionamiento del sistema actual de gestión de la biblioteca?","Aceptable")/GETPIVOTDATA("Universidad",$F$16)</f>
        <v>0.27777777777777779</v>
      </c>
      <c r="J17" s="4" t="s">
        <v>22</v>
      </c>
      <c r="K17" s="6">
        <v>17</v>
      </c>
      <c r="L17" s="7">
        <f>GETPIVOTDATA("Universidad",$J$16,"¿Ha tenido alguna dificultad al momento de prestar o devolver material bibliográfico?","No")/GETPIVOTDATA("Universidad",$J$16)</f>
        <v>0.94444444444444442</v>
      </c>
    </row>
    <row r="18" spans="2:12" x14ac:dyDescent="0.35">
      <c r="B18" s="4" t="s">
        <v>26</v>
      </c>
      <c r="C18" s="6">
        <v>9</v>
      </c>
      <c r="D18" s="7">
        <f>GETPIVOTDATA("Universidad",$B$16,"Califique qué tan ágil y eficiente considera el proceso de devolución de los libros.","Bueno")/GETPIVOTDATA("Universidad",$B$16)</f>
        <v>0.5</v>
      </c>
      <c r="F18" s="4" t="s">
        <v>26</v>
      </c>
      <c r="G18" s="6">
        <v>6</v>
      </c>
      <c r="H18" s="7">
        <f>GETPIVOTDATA("Universidad",$F$16,"¿Cómo califica el funcionamiento del sistema actual de gestión de la biblioteca?","Bueno")/GETPIVOTDATA("Universidad",$F$16)</f>
        <v>0.33333333333333331</v>
      </c>
      <c r="J18" s="4" t="s">
        <v>21</v>
      </c>
      <c r="K18" s="6">
        <v>1</v>
      </c>
      <c r="L18" s="7">
        <f>GETPIVOTDATA("Universidad",$J$16,"¿Ha tenido alguna dificultad al momento de prestar o devolver material bibliográfico?","Si")/GETPIVOTDATA("Universidad",$J$16)</f>
        <v>5.5555555555555552E-2</v>
      </c>
    </row>
    <row r="19" spans="2:12" x14ac:dyDescent="0.35">
      <c r="B19" s="4" t="s">
        <v>28</v>
      </c>
      <c r="C19" s="6">
        <v>2</v>
      </c>
      <c r="D19" s="7">
        <f>GETPIVOTDATA("Universidad",$B$16,"Califique qué tan ágil y eficiente considera el proceso de devolución de los libros.","Deficiente")/GETPIVOTDATA("Universidad",$B$16)</f>
        <v>0.1111111111111111</v>
      </c>
      <c r="F19" s="4" t="s">
        <v>28</v>
      </c>
      <c r="G19" s="6">
        <v>4</v>
      </c>
      <c r="H19" s="7">
        <f>GETPIVOTDATA("Universidad",$F$16,"¿Cómo califica el funcionamiento del sistema actual de gestión de la biblioteca?","Deficiente")/GETPIVOTDATA("Universidad",$F$16)</f>
        <v>0.22222222222222221</v>
      </c>
      <c r="J19" s="4" t="s">
        <v>42</v>
      </c>
      <c r="K19" s="6">
        <v>18</v>
      </c>
      <c r="L19" s="8">
        <f>SUM(L17:L18)</f>
        <v>1</v>
      </c>
    </row>
    <row r="20" spans="2:12" x14ac:dyDescent="0.35">
      <c r="B20" s="4" t="s">
        <v>24</v>
      </c>
      <c r="C20" s="6">
        <v>2</v>
      </c>
      <c r="D20" s="7">
        <f>GETPIVOTDATA("Universidad",$B$16,"Califique qué tan ágil y eficiente considera el proceso de devolución de los libros.","Excelente")/GETPIVOTDATA("Universidad",$B$16)</f>
        <v>0.1111111111111111</v>
      </c>
      <c r="F20" s="4" t="s">
        <v>24</v>
      </c>
      <c r="G20" s="6">
        <v>2</v>
      </c>
      <c r="H20" s="7">
        <f>GETPIVOTDATA("Universidad",$F$16,"¿Cómo califica el funcionamiento del sistema actual de gestión de la biblioteca?","Excelente")/GETPIVOTDATA("Universidad",$F$16)</f>
        <v>0.1111111111111111</v>
      </c>
      <c r="J20"/>
      <c r="K20"/>
    </row>
    <row r="21" spans="2:12" x14ac:dyDescent="0.35">
      <c r="B21" s="4" t="s">
        <v>29</v>
      </c>
      <c r="C21" s="6">
        <v>1</v>
      </c>
      <c r="D21" s="7">
        <f>GETPIVOTDATA("Universidad",$B$16,"Califique qué tan ágil y eficiente considera el proceso de devolución de los libros.","Muy deficiente")/GETPIVOTDATA("Universidad",$B$16)</f>
        <v>5.5555555555555552E-2</v>
      </c>
      <c r="F21" s="4" t="s">
        <v>29</v>
      </c>
      <c r="G21" s="6">
        <v>1</v>
      </c>
      <c r="H21" s="7">
        <f>GETPIVOTDATA("Universidad",$F$16,"¿Cómo califica el funcionamiento del sistema actual de gestión de la biblioteca?","Muy deficiente")/GETPIVOTDATA("Universidad",$F$16)</f>
        <v>5.5555555555555552E-2</v>
      </c>
    </row>
    <row r="22" spans="2:12" x14ac:dyDescent="0.35">
      <c r="B22" s="4" t="s">
        <v>42</v>
      </c>
      <c r="C22" s="6">
        <v>18</v>
      </c>
      <c r="D22" s="8">
        <f>SUM(D17:D21)</f>
        <v>1</v>
      </c>
      <c r="F22" s="4" t="s">
        <v>42</v>
      </c>
      <c r="G22" s="6">
        <v>18</v>
      </c>
      <c r="H22" s="8">
        <f>SUM(H17:H21)</f>
        <v>1</v>
      </c>
      <c r="J22" s="2" t="s">
        <v>52</v>
      </c>
      <c r="K22" s="2"/>
      <c r="L22" s="2"/>
    </row>
    <row r="23" spans="2:12" x14ac:dyDescent="0.35">
      <c r="J23" s="3" t="s">
        <v>45</v>
      </c>
      <c r="K23" s="4" t="s">
        <v>44</v>
      </c>
      <c r="L23" s="5" t="s">
        <v>43</v>
      </c>
    </row>
    <row r="24" spans="2:12" x14ac:dyDescent="0.35">
      <c r="J24" s="4" t="s">
        <v>35</v>
      </c>
      <c r="K24" s="6">
        <v>1</v>
      </c>
      <c r="L24" s="7">
        <f>GETPIVOTDATA("Universidad",$J$23,"¿Cuál ha sido la principal dificultad?","Demora en el proceso")/GETPIVOTDATA("Universidad",$J$23)</f>
        <v>5.5555555555555552E-2</v>
      </c>
    </row>
    <row r="25" spans="2:12" x14ac:dyDescent="0.35">
      <c r="B25" s="2" t="s">
        <v>52</v>
      </c>
      <c r="C25" s="2"/>
      <c r="D25" s="2"/>
      <c r="J25" s="4" t="s">
        <v>50</v>
      </c>
      <c r="K25" s="6">
        <v>17</v>
      </c>
      <c r="L25" s="7">
        <f>GETPIVOTDATA("Universidad",$J$23,"¿Cuál ha sido la principal dificultad?",)/GETPIVOTDATA("Universidad",$J$23)</f>
        <v>0.94444444444444442</v>
      </c>
    </row>
    <row r="26" spans="2:12" x14ac:dyDescent="0.35">
      <c r="B26" s="3" t="s">
        <v>45</v>
      </c>
      <c r="C26" s="4" t="s">
        <v>44</v>
      </c>
      <c r="D26" s="5" t="s">
        <v>43</v>
      </c>
      <c r="J26" s="4" t="s">
        <v>42</v>
      </c>
      <c r="K26" s="6">
        <v>18</v>
      </c>
      <c r="L26" s="8">
        <f>SUM(L24:L25)</f>
        <v>1</v>
      </c>
    </row>
    <row r="27" spans="2:12" x14ac:dyDescent="0.35">
      <c r="B27" s="4" t="s">
        <v>22</v>
      </c>
      <c r="C27" s="6">
        <v>10</v>
      </c>
      <c r="D27" s="7">
        <f>GETPIVOTDATA("Universidad",$B$26,"¿Considera necesario mejorar o cambiar el sistema actual de gestión de la biblioteca?","No")/GETPIVOTDATA("Universidad",$B$26)</f>
        <v>0.55555555555555558</v>
      </c>
    </row>
    <row r="28" spans="2:12" x14ac:dyDescent="0.35">
      <c r="B28" s="4" t="s">
        <v>21</v>
      </c>
      <c r="C28" s="6">
        <v>8</v>
      </c>
      <c r="D28" s="7">
        <f>GETPIVOTDATA("Universidad",$B$26,"¿Considera necesario mejorar o cambiar el sistema actual de gestión de la biblioteca?","Si")/GETPIVOTDATA("Universidad",$B$26)</f>
        <v>0.44444444444444442</v>
      </c>
    </row>
    <row r="29" spans="2:12" x14ac:dyDescent="0.35">
      <c r="B29" s="4" t="s">
        <v>42</v>
      </c>
      <c r="C29" s="6">
        <v>18</v>
      </c>
      <c r="D29" s="8">
        <f>SUM(D27:D28)</f>
        <v>1</v>
      </c>
    </row>
  </sheetData>
  <mergeCells count="8">
    <mergeCell ref="J22:L22"/>
    <mergeCell ref="F15:H15"/>
    <mergeCell ref="B6:D6"/>
    <mergeCell ref="F6:H6"/>
    <mergeCell ref="J6:L6"/>
    <mergeCell ref="B15:D15"/>
    <mergeCell ref="B25:D25"/>
    <mergeCell ref="J15:L15"/>
  </mergeCells>
  <pageMargins left="0.7" right="0.7" top="0.75" bottom="0.75" header="0.3" footer="0.3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BD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JULIÁN  CIFUENTES VÁSQUEZ</cp:lastModifiedBy>
  <dcterms:created xsi:type="dcterms:W3CDTF">2026-03-12T01:16:54Z</dcterms:created>
  <dcterms:modified xsi:type="dcterms:W3CDTF">2026-03-12T02:08:14Z</dcterms:modified>
</cp:coreProperties>
</file>